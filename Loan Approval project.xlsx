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3501\Desktop\Mohana_Project\"/>
    </mc:Choice>
  </mc:AlternateContent>
  <xr:revisionPtr revIDLastSave="0" documentId="13_ncr:1_{1AB7EEFA-41C2-42CE-9CFA-1093900BD4FF}" xr6:coauthVersionLast="47" xr6:coauthVersionMax="47" xr10:uidLastSave="{00000000-0000-0000-0000-000000000000}"/>
  <bookViews>
    <workbookView xWindow="-108" yWindow="-108" windowWidth="23256" windowHeight="12456" xr2:uid="{C1AD4546-1B85-4A1B-86C6-BD0E67783CCB}"/>
  </bookViews>
  <sheets>
    <sheet name="LoanApprovalPrediction" sheetId="1" r:id="rId1"/>
  </sheets>
  <definedNames>
    <definedName name="_xlnm._FilterDatabase" localSheetId="0" hidden="1">LoanApprovalPrediction!$R$1:$R$7044</definedName>
  </definedNames>
  <calcPr calcId="191029"/>
</workbook>
</file>

<file path=xl/calcChain.xml><?xml version="1.0" encoding="utf-8"?>
<calcChain xmlns="http://schemas.openxmlformats.org/spreadsheetml/2006/main">
  <c r="Q520" i="1" l="1"/>
  <c r="Q157" i="1"/>
  <c r="Q46" i="1"/>
  <c r="Q7" i="1"/>
  <c r="Q147" i="1"/>
  <c r="Q593" i="1"/>
  <c r="Q566" i="1"/>
  <c r="Q507" i="1"/>
  <c r="Q494" i="1"/>
  <c r="Q472" i="1"/>
  <c r="Q444" i="1"/>
  <c r="Q405" i="1"/>
  <c r="Q375" i="1"/>
  <c r="Q374" i="1"/>
  <c r="Q354" i="1"/>
  <c r="Q336" i="1"/>
  <c r="Q281" i="1"/>
  <c r="Q263" i="1"/>
  <c r="Q249" i="1"/>
  <c r="Q181" i="1"/>
  <c r="Q166" i="1"/>
  <c r="Q130" i="1"/>
  <c r="Q118" i="1"/>
  <c r="Q68" i="1"/>
  <c r="Q63" i="1"/>
  <c r="Q62" i="1"/>
  <c r="Q61" i="1"/>
  <c r="Q60" i="1"/>
  <c r="Q59" i="1"/>
  <c r="Q58" i="1"/>
  <c r="Q57" i="1"/>
  <c r="Q56" i="1"/>
  <c r="Q560" i="1"/>
  <c r="Q537" i="1"/>
  <c r="Q501" i="1"/>
  <c r="Q478" i="1"/>
  <c r="Q466" i="1"/>
  <c r="Q438" i="1"/>
  <c r="Q399" i="1"/>
  <c r="Q368" i="1"/>
  <c r="Q348" i="1"/>
  <c r="Q330" i="1"/>
  <c r="Q307" i="1"/>
  <c r="Q243" i="1"/>
  <c r="Q220" i="1"/>
  <c r="Q160" i="1"/>
  <c r="Q112" i="1"/>
  <c r="Q54" i="1"/>
  <c r="Q588" i="1"/>
  <c r="Q559" i="1"/>
  <c r="Q536" i="1"/>
  <c r="Q465" i="1"/>
  <c r="Q437" i="1"/>
  <c r="Q398" i="1"/>
  <c r="Q367" i="1"/>
  <c r="Q347" i="1"/>
  <c r="Q329" i="1"/>
  <c r="Q306" i="1"/>
  <c r="Q242" i="1"/>
  <c r="Q219" i="1"/>
  <c r="Q111" i="1"/>
  <c r="Q53" i="1"/>
  <c r="Q55" i="1"/>
  <c r="Q64" i="1"/>
  <c r="Q65" i="1"/>
  <c r="Q66" i="1"/>
  <c r="Q67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3" i="1"/>
  <c r="Q114" i="1"/>
  <c r="Q115" i="1"/>
  <c r="Q116" i="1"/>
  <c r="Q117" i="1"/>
  <c r="Q119" i="1"/>
  <c r="Q120" i="1"/>
  <c r="Q121" i="1"/>
  <c r="Q122" i="1"/>
  <c r="Q123" i="1"/>
  <c r="Q124" i="1"/>
  <c r="Q125" i="1"/>
  <c r="Q126" i="1"/>
  <c r="Q127" i="1"/>
  <c r="Q128" i="1"/>
  <c r="Q129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8" i="1"/>
  <c r="Q149" i="1"/>
  <c r="Q150" i="1"/>
  <c r="Q151" i="1"/>
  <c r="Q152" i="1"/>
  <c r="Q153" i="1"/>
  <c r="Q154" i="1"/>
  <c r="Q155" i="1"/>
  <c r="Q156" i="1"/>
  <c r="Q158" i="1"/>
  <c r="Q159" i="1"/>
  <c r="Q161" i="1"/>
  <c r="Q162" i="1"/>
  <c r="Q163" i="1"/>
  <c r="Q164" i="1"/>
  <c r="Q165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4" i="1"/>
  <c r="Q245" i="1"/>
  <c r="Q246" i="1"/>
  <c r="Q247" i="1"/>
  <c r="Q248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31" i="1"/>
  <c r="Q332" i="1"/>
  <c r="Q333" i="1"/>
  <c r="Q334" i="1"/>
  <c r="Q335" i="1"/>
  <c r="Q337" i="1"/>
  <c r="Q338" i="1"/>
  <c r="Q339" i="1"/>
  <c r="Q340" i="1"/>
  <c r="Q341" i="1"/>
  <c r="Q342" i="1"/>
  <c r="Q343" i="1"/>
  <c r="Q344" i="1"/>
  <c r="Q345" i="1"/>
  <c r="Q346" i="1"/>
  <c r="Q349" i="1"/>
  <c r="Q350" i="1"/>
  <c r="Q351" i="1"/>
  <c r="Q352" i="1"/>
  <c r="Q353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9" i="1"/>
  <c r="Q370" i="1"/>
  <c r="Q371" i="1"/>
  <c r="Q372" i="1"/>
  <c r="Q373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400" i="1"/>
  <c r="Q401" i="1"/>
  <c r="Q402" i="1"/>
  <c r="Q403" i="1"/>
  <c r="Q404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9" i="1"/>
  <c r="Q440" i="1"/>
  <c r="Q441" i="1"/>
  <c r="Q442" i="1"/>
  <c r="Q443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7" i="1"/>
  <c r="Q468" i="1"/>
  <c r="Q469" i="1"/>
  <c r="Q470" i="1"/>
  <c r="Q471" i="1"/>
  <c r="Q473" i="1"/>
  <c r="Q474" i="1"/>
  <c r="Q475" i="1"/>
  <c r="Q476" i="1"/>
  <c r="Q477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5" i="1"/>
  <c r="Q496" i="1"/>
  <c r="Q497" i="1"/>
  <c r="Q498" i="1"/>
  <c r="Q499" i="1"/>
  <c r="Q500" i="1"/>
  <c r="Q502" i="1"/>
  <c r="Q503" i="1"/>
  <c r="Q504" i="1"/>
  <c r="Q505" i="1"/>
  <c r="Q506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61" i="1"/>
  <c r="Q562" i="1"/>
  <c r="Q563" i="1"/>
  <c r="Q564" i="1"/>
  <c r="Q565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1" i="1"/>
  <c r="Q48" i="1"/>
  <c r="Q47" i="1"/>
  <c r="Q45" i="1"/>
  <c r="Q44" i="1"/>
  <c r="Q43" i="1"/>
  <c r="Q42" i="1"/>
  <c r="Q41" i="1"/>
  <c r="Q40" i="1"/>
  <c r="Q38" i="1"/>
  <c r="Q37" i="1"/>
  <c r="Q36" i="1"/>
  <c r="Q50" i="1"/>
  <c r="Q35" i="1"/>
  <c r="Q34" i="1"/>
  <c r="Q33" i="1"/>
  <c r="Q31" i="1"/>
  <c r="Q29" i="1"/>
  <c r="Q28" i="1"/>
  <c r="Q27" i="1"/>
  <c r="Q24" i="1"/>
  <c r="Q23" i="1"/>
  <c r="Q22" i="1"/>
  <c r="Q20" i="1"/>
  <c r="Q598" i="1"/>
  <c r="Q49" i="1"/>
  <c r="Q13" i="1"/>
  <c r="Q597" i="1"/>
  <c r="Q26" i="1"/>
  <c r="Q21" i="1"/>
  <c r="Q15" i="1"/>
  <c r="Q12" i="1"/>
  <c r="Q32" i="1"/>
  <c r="Q592" i="1"/>
  <c r="Q52" i="1"/>
  <c r="Q30" i="1"/>
  <c r="Q19" i="1"/>
  <c r="Q18" i="1"/>
  <c r="Q6" i="1"/>
  <c r="Q5" i="1"/>
  <c r="Q10" i="1"/>
  <c r="Q595" i="1"/>
  <c r="Q591" i="1"/>
  <c r="Q590" i="1"/>
  <c r="Q25" i="1"/>
  <c r="Q16" i="1"/>
  <c r="Q4" i="1"/>
  <c r="Q3" i="1"/>
  <c r="Q599" i="1"/>
  <c r="Q596" i="1"/>
  <c r="Q594" i="1"/>
  <c r="Q589" i="1"/>
  <c r="Q39" i="1"/>
  <c r="Q17" i="1"/>
  <c r="Q14" i="1"/>
  <c r="Q11" i="1"/>
  <c r="Q9" i="1"/>
  <c r="Q8" i="1"/>
  <c r="Q2" i="1"/>
</calcChain>
</file>

<file path=xl/sharedStrings.xml><?xml version="1.0" encoding="utf-8"?>
<sst xmlns="http://schemas.openxmlformats.org/spreadsheetml/2006/main" count="6255" uniqueCount="637">
  <si>
    <t>Loan_ID</t>
  </si>
  <si>
    <t>Gender</t>
  </si>
  <si>
    <t>Married</t>
  </si>
  <si>
    <t>Education</t>
  </si>
  <si>
    <t>Self_Employed</t>
  </si>
  <si>
    <t>ApplicantIncome</t>
  </si>
  <si>
    <t>CoapplicantIncome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</si>
  <si>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</si>
  <si>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</si>
  <si>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</si>
  <si>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</si>
  <si>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</si>
  <si>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</si>
  <si>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</si>
  <si>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</si>
  <si>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</si>
  <si>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</si>
  <si>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</si>
  <si>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</si>
  <si>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</si>
  <si>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</si>
  <si>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</si>
  <si>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</si>
  <si>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</si>
  <si>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</si>
  <si>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</si>
  <si>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</si>
  <si>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</si>
  <si>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</si>
  <si>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</si>
  <si>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</si>
  <si>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</si>
  <si>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</si>
  <si>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</si>
  <si>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</si>
  <si>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</si>
  <si>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</si>
  <si>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</si>
  <si>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</si>
  <si>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</si>
  <si>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</si>
  <si>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</si>
  <si>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</si>
  <si>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</si>
  <si>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</si>
  <si>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</si>
  <si>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</si>
  <si>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</si>
  <si>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</si>
  <si>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</si>
  <si>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</si>
  <si>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</si>
  <si>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</si>
  <si>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</si>
  <si>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</si>
  <si>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</si>
  <si>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</si>
  <si>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</si>
  <si>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</si>
  <si>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</si>
  <si>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</si>
  <si>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</si>
  <si>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</si>
  <si>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</si>
  <si>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</si>
  <si>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</si>
  <si>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</si>
  <si>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</si>
  <si>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</si>
  <si>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</si>
  <si>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</si>
  <si>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</si>
  <si>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</si>
  <si>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</si>
  <si>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</si>
  <si>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</si>
  <si>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</si>
  <si>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</si>
  <si>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</si>
  <si>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</si>
  <si>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</si>
  <si>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</si>
  <si>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</si>
  <si>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</si>
  <si>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</si>
  <si>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</si>
  <si>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</si>
  <si>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</si>
  <si>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</si>
  <si>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</si>
  <si>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</si>
  <si>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</si>
  <si>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</si>
  <si>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</si>
  <si>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</si>
  <si>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</si>
  <si>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</si>
  <si>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</si>
  <si>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</si>
  <si>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</si>
  <si>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</si>
  <si>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</si>
  <si>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</si>
  <si>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</si>
  <si>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</si>
  <si>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</si>
  <si>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</si>
  <si>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</si>
  <si>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</si>
  <si>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</si>
  <si>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</si>
  <si>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</si>
  <si>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</si>
  <si>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</si>
  <si>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</si>
  <si>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</si>
  <si>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</si>
  <si>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</si>
  <si>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</si>
  <si>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</si>
  <si>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</si>
  <si>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</si>
  <si>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</si>
  <si>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</si>
  <si>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</si>
  <si>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</si>
  <si>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</si>
  <si>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</si>
  <si>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</si>
  <si>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</si>
  <si>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</si>
  <si>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</si>
  <si>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</si>
  <si>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</si>
  <si>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</si>
  <si>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</si>
  <si>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</si>
  <si>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</si>
  <si>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</si>
  <si>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</si>
  <si>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</si>
  <si>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</si>
  <si>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</si>
  <si>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</si>
  <si>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</si>
  <si>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</si>
  <si>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</si>
  <si>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</si>
  <si>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</si>
  <si>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</si>
  <si>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</si>
  <si>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</si>
  <si>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</si>
  <si>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</si>
  <si>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</si>
  <si>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</si>
  <si>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</si>
  <si>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</si>
  <si>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</si>
  <si>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</si>
  <si>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</si>
  <si>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</si>
  <si>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</si>
  <si>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</si>
  <si>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</si>
  <si>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</si>
  <si>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</si>
  <si>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</si>
  <si>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</si>
  <si>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</si>
  <si>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</si>
  <si>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</si>
  <si>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</si>
  <si>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</si>
  <si>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</si>
  <si>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</si>
  <si>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</si>
  <si>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</si>
  <si>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</si>
  <si>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</si>
  <si>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</si>
  <si>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</si>
  <si>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</si>
  <si>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</si>
  <si>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</si>
  <si>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</si>
  <si>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</si>
  <si>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</si>
  <si>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</si>
  <si>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</si>
  <si>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</si>
  <si>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</si>
  <si>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</si>
  <si>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</si>
  <si>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</si>
  <si>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</si>
  <si>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</si>
  <si>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</si>
  <si>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</si>
  <si>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</si>
  <si>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</si>
  <si>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</si>
  <si>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</si>
  <si>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</si>
  <si>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</si>
  <si>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</si>
  <si>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</si>
  <si>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</si>
  <si>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</si>
  <si>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</si>
  <si>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</si>
  <si>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</si>
  <si>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</si>
  <si>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</si>
  <si>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</si>
  <si>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</si>
  <si>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</si>
  <si>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</si>
  <si>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</si>
  <si>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</si>
  <si>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</si>
  <si>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</si>
  <si>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</si>
  <si>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</si>
  <si>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</si>
  <si>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</si>
  <si>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</si>
  <si>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</si>
  <si>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</si>
  <si>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</si>
  <si>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</si>
  <si>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</si>
  <si>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</si>
  <si>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</si>
  <si>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</si>
  <si>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</si>
  <si>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</si>
  <si>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</si>
  <si>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</si>
  <si>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</si>
  <si>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</si>
  <si>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</si>
  <si>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</si>
  <si>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</si>
  <si>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</si>
  <si>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</si>
  <si>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</si>
  <si>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</si>
  <si>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</si>
  <si>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</si>
  <si>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</si>
  <si>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</si>
  <si>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</si>
  <si>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</si>
  <si>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</si>
  <si>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</si>
  <si>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</si>
  <si>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</si>
  <si>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</si>
  <si>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</si>
  <si>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</si>
  <si>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</si>
  <si>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</si>
  <si>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</si>
  <si>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</si>
  <si>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</si>
  <si>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</si>
  <si>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</si>
  <si>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</si>
  <si>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</si>
  <si>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</si>
  <si>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</si>
  <si>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</si>
  <si>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</si>
  <si>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</si>
  <si>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</si>
  <si>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</si>
  <si>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</si>
  <si>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</si>
  <si>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</si>
  <si>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</si>
  <si>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</si>
  <si>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</si>
  <si>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</si>
  <si>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</si>
  <si>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</si>
  <si>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</si>
  <si>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</si>
  <si>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</si>
  <si>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</si>
  <si>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</si>
  <si>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</si>
  <si>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</si>
  <si>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</si>
  <si>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</si>
  <si>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</si>
  <si>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</si>
  <si>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</si>
  <si>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</si>
  <si>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</si>
  <si>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</si>
  <si>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</si>
  <si>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</si>
  <si>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</si>
  <si>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</si>
  <si>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</si>
  <si>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</si>
  <si>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</si>
  <si>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</si>
  <si>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</si>
  <si>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</si>
  <si>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</si>
  <si>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</si>
  <si>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</si>
  <si>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</si>
  <si>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</si>
  <si>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</si>
  <si>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</si>
  <si>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</si>
  <si>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</si>
  <si>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</si>
  <si>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</si>
  <si>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</si>
  <si>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</si>
  <si>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</si>
  <si>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</si>
  <si>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</si>
  <si>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</si>
  <si>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</si>
  <si>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</si>
  <si>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</si>
  <si>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</si>
  <si>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</si>
  <si>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</si>
  <si>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</si>
  <si>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</si>
  <si>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</si>
  <si>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</si>
  <si>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</si>
  <si>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</si>
  <si>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</si>
  <si>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</si>
  <si>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</si>
  <si>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</si>
  <si>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</si>
  <si>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</si>
  <si>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</si>
  <si>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</si>
  <si>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</si>
  <si>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</si>
  <si>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</si>
  <si>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</si>
  <si>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</si>
  <si>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</si>
  <si>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</si>
  <si>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</si>
  <si>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</si>
  <si>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</si>
  <si>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</si>
  <si>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</si>
  <si>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</si>
  <si>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</si>
  <si>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</si>
  <si>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</si>
  <si>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</si>
  <si>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</si>
  <si>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</si>
  <si>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</si>
  <si>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</si>
  <si>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</si>
  <si>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</si>
  <si>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</si>
  <si>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</si>
  <si>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</si>
  <si>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</si>
  <si>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</si>
  <si>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</si>
  <si>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</si>
  <si>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</si>
  <si>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</si>
  <si>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</si>
  <si>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</si>
  <si>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</si>
  <si>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</si>
  <si>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</si>
  <si>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</si>
  <si>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</si>
  <si>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</si>
  <si>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</si>
  <si>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</si>
  <si>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</si>
  <si>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</si>
  <si>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</si>
  <si>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</si>
  <si>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</si>
  <si>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</si>
  <si>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</si>
  <si>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</si>
  <si>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</si>
  <si>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</si>
  <si>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</si>
  <si>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</si>
  <si>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</si>
  <si>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</si>
  <si>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</si>
  <si>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</si>
  <si>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</si>
  <si>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</si>
  <si>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</si>
  <si>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</si>
  <si>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</si>
  <si>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</si>
  <si>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</si>
  <si>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</si>
  <si>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</si>
  <si>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</si>
  <si>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</si>
  <si>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</si>
  <si>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</si>
  <si>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</si>
  <si>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</si>
  <si>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</si>
  <si>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</si>
  <si>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</si>
  <si>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</si>
  <si>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</si>
  <si>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</si>
  <si>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</si>
  <si>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</si>
  <si>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</si>
  <si>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</si>
  <si>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</si>
  <si>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</si>
  <si>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</si>
  <si>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</si>
  <si>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</si>
  <si>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</si>
  <si>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</si>
  <si>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</si>
  <si>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</si>
  <si>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</si>
  <si>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</si>
  <si>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</si>
  <si>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</si>
  <si>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</si>
  <si>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</si>
  <si>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</si>
  <si>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</si>
  <si>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</si>
  <si>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</si>
  <si>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</si>
  <si>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</si>
  <si>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</si>
  <si>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</si>
  <si>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</si>
  <si>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</si>
  <si>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</si>
  <si>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</si>
  <si>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</si>
  <si>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</si>
  <si>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</si>
  <si>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</si>
  <si>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</si>
  <si>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</si>
  <si>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</si>
  <si>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</si>
  <si>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</si>
  <si>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</si>
  <si>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</si>
  <si>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</si>
  <si>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</si>
  <si>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</si>
  <si>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</si>
  <si>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</si>
  <si>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LP002489</t>
  </si>
  <si>
    <t>LP002493</t>
  </si>
  <si>
    <t>LP002494</t>
  </si>
  <si>
    <t>LP002500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</si>
  <si>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</si>
  <si>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</si>
  <si>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</si>
  <si>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</si>
  <si>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</si>
  <si>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</si>
  <si>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</si>
  <si>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</si>
  <si>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</si>
  <si>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</si>
  <si>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</si>
  <si>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</si>
  <si>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</si>
  <si>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</si>
  <si>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</si>
  <si>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</si>
  <si>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</si>
  <si>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</si>
  <si>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</si>
  <si>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</si>
  <si>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</si>
  <si>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</si>
  <si>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</si>
  <si>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</si>
  <si>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</si>
  <si>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</si>
  <si>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</si>
  <si>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</si>
  <si>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</si>
  <si>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</si>
  <si>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</si>
  <si>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</si>
  <si>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</si>
  <si>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</si>
  <si>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</si>
  <si>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</si>
  <si>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</si>
  <si>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</si>
  <si>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</si>
  <si>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</si>
  <si>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</si>
  <si>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</si>
  <si>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</si>
  <si>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</si>
  <si>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</si>
  <si>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</si>
  <si>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</si>
  <si>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</si>
  <si>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</si>
  <si>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</si>
  <si>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</si>
  <si>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</si>
  <si>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</si>
  <si>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</si>
  <si>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</si>
  <si>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</si>
  <si>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</si>
  <si>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</si>
  <si>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</si>
  <si>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</si>
  <si>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</si>
  <si>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</si>
  <si>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</si>
  <si>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</si>
  <si>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</si>
  <si>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</si>
  <si>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</si>
  <si>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</si>
  <si>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</si>
  <si>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</si>
  <si>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</si>
  <si>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</si>
  <si>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</si>
  <si>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</si>
  <si>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</si>
  <si>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</si>
  <si>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</si>
  <si>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</si>
  <si>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</si>
  <si>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</si>
  <si>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</si>
  <si>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</si>
  <si>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</si>
  <si>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</si>
  <si>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</si>
  <si>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</si>
  <si>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</si>
  <si>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</si>
  <si>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</si>
  <si>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</si>
  <si>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</si>
  <si>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</si>
  <si>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</si>
  <si>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</si>
  <si>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</si>
  <si>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</si>
  <si>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</si>
  <si>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</si>
  <si>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</si>
  <si>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</si>
  <si>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</si>
  <si>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</si>
  <si>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</si>
  <si>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</si>
  <si>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</si>
  <si>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</si>
  <si>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</si>
  <si>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</si>
  <si>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</si>
  <si>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</si>
  <si>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</si>
  <si>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</si>
  <si>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</si>
  <si>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</si>
  <si>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</si>
  <si>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</si>
  <si>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</si>
  <si>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LP002926</t>
  </si>
  <si>
    <t>LP002928</t>
  </si>
  <si>
    <t>LP002931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</si>
  <si>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</si>
  <si>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</si>
  <si>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</si>
  <si>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</si>
  <si>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</si>
  <si>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</si>
  <si>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</si>
  <si>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</si>
  <si>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</si>
  <si>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</si>
  <si>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</si>
  <si>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</si>
  <si>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</si>
  <si>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</si>
  <si>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</si>
  <si>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</si>
  <si>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</si>
  <si>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</si>
  <si>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</si>
  <si>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</si>
  <si>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</si>
  <si>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S.No</t>
  </si>
  <si>
    <t>Loan_Amount_Tenure</t>
  </si>
  <si>
    <t>Churn</t>
  </si>
  <si>
    <t>Contract</t>
  </si>
  <si>
    <t>Month-to-month</t>
  </si>
  <si>
    <t>PaymentMethod</t>
  </si>
  <si>
    <t>Enach</t>
  </si>
  <si>
    <t>Rate Of Interest</t>
  </si>
  <si>
    <t>Monthly EMI</t>
  </si>
  <si>
    <t>Loan_Amount_Required</t>
  </si>
  <si>
    <t>Loan Amount</t>
  </si>
  <si>
    <t>Annual Interest Rate</t>
  </si>
  <si>
    <t>No. of years</t>
  </si>
  <si>
    <t>Month per year</t>
  </si>
  <si>
    <t>No. of months</t>
  </si>
  <si>
    <t xml:space="preserve">Eligible_Loan_Amount </t>
  </si>
  <si>
    <t>Not eligible</t>
  </si>
  <si>
    <t>77y6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</si>
</sst>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9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33" borderId="10" xfId="0" applyFill="1" applyBorder="1" applyAlignment="1">
      <alignment horizontal="center" vertical="center"/>
    </xf>
    <xf numFmtId="8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F09B-22C3-4037-BE82-21216991EA6E}">
  <dimension ref="A1:AB7044"/>
  <sheetViews>
    <sheetView tabSelected="1" workbookViewId="0">
      <selection activeCell="S1" sqref="S1"/>
    </sheetView>
  </sheetViews>
  <sheetFormatPr defaultRowHeight="14.4" x14ac:dyDescent="0.3"/>
  <cols>
    <col min="1" max="4" width="8.88671875" style="1"/>
    <col min="5" max="5" width="12.109375" style="1" bestFit="1" customWidth="1"/>
    <col min="6" max="6" width="13.109375" style="1" bestFit="1" customWidth="1"/>
    <col min="7" max="7" width="14.77734375" style="1" bestFit="1" customWidth="1"/>
    <col min="8" max="8" width="16.88671875" style="1" bestFit="1" customWidth="1"/>
    <col min="9" max="9" width="21.88671875" style="10" bestFit="1" customWidth="1"/>
    <col min="10" max="10" width="20.109375" style="1" bestFit="1" customWidth="1"/>
    <col min="11" max="11" width="12.88671875" style="1" bestFit="1" customWidth="1"/>
    <col min="12" max="12" width="13.33203125" style="1" bestFit="1" customWidth="1"/>
    <col min="13" max="13" width="11.33203125" style="1" bestFit="1" customWidth="1"/>
    <col min="14" max="14" width="15" bestFit="1" customWidth="1"/>
    <col min="15" max="15" width="15.44140625" bestFit="1" customWidth="1"/>
    <col min="16" max="16" width="14.21875" bestFit="1" customWidth="1"/>
    <col min="17" max="17" width="12" style="1" bestFit="1" customWidth="1"/>
    <col min="18" max="18" width="19.44140625" style="11" bestFit="1" customWidth="1"/>
    <col min="21" max="21" width="17.77734375" bestFit="1" customWidth="1"/>
    <col min="24" max="24" width="17.77734375" bestFit="1" customWidth="1"/>
    <col min="27" max="27" width="17.77734375" bestFit="1" customWidth="1"/>
  </cols>
  <sheetData>
    <row r="1" spans="1:28" x14ac:dyDescent="0.3">
      <c r="A1" s="6" t="s">
        <v>619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9" t="s">
        <v>628</v>
      </c>
      <c r="J1" s="6" t="s">
        <v>620</v>
      </c>
      <c r="K1" s="6" t="s">
        <v>7</v>
      </c>
      <c r="L1" s="6" t="s">
        <v>8</v>
      </c>
      <c r="M1" s="6" t="s">
        <v>9</v>
      </c>
      <c r="N1" s="6" t="s">
        <v>622</v>
      </c>
      <c r="O1" s="7" t="s">
        <v>624</v>
      </c>
      <c r="P1" s="6" t="s">
        <v>626</v>
      </c>
      <c r="Q1" s="6" t="s">
        <v>627</v>
      </c>
      <c r="R1" s="6" t="s">
        <v>634</v>
      </c>
      <c r="S1" s="7" t="s">
        <v>621</v>
      </c>
    </row>
    <row r="2" spans="1:28" x14ac:dyDescent="0.3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12</v>
      </c>
      <c r="G2" s="4">
        <v>50000</v>
      </c>
      <c r="H2" s="4">
        <v>0</v>
      </c>
      <c r="I2" s="13">
        <v>1000000</v>
      </c>
      <c r="J2" s="4">
        <v>60</v>
      </c>
      <c r="K2" s="4">
        <v>1</v>
      </c>
      <c r="L2" s="4" t="s">
        <v>14</v>
      </c>
      <c r="M2" s="4" t="s">
        <v>15</v>
      </c>
      <c r="N2" s="4" t="s">
        <v>623</v>
      </c>
      <c r="O2" s="4" t="s">
        <v>625</v>
      </c>
      <c r="P2" s="5">
        <v>0.18</v>
      </c>
      <c r="Q2" s="14">
        <f>PMT($V$3/12,$V$6,-$V$2)</f>
        <v>25393.427427109084</v>
      </c>
      <c r="R2" s="4">
        <v>500000</v>
      </c>
      <c r="S2" s="2" t="s">
        <v>12</v>
      </c>
      <c r="U2" s="3" t="s">
        <v>629</v>
      </c>
      <c r="V2" s="4">
        <v>1000000</v>
      </c>
      <c r="X2" s="3" t="s">
        <v>629</v>
      </c>
      <c r="Y2" s="4">
        <v>756201</v>
      </c>
      <c r="AA2" s="3" t="s">
        <v>629</v>
      </c>
      <c r="AB2" s="4">
        <v>768000</v>
      </c>
    </row>
    <row r="3" spans="1:28" x14ac:dyDescent="0.3">
      <c r="A3" s="4">
        <v>2</v>
      </c>
      <c r="B3" s="4" t="s">
        <v>16</v>
      </c>
      <c r="C3" s="4" t="s">
        <v>11</v>
      </c>
      <c r="D3" s="4" t="s">
        <v>17</v>
      </c>
      <c r="E3" s="4" t="s">
        <v>13</v>
      </c>
      <c r="F3" s="4" t="s">
        <v>12</v>
      </c>
      <c r="G3" s="4">
        <v>100000</v>
      </c>
      <c r="H3" s="4">
        <v>35000</v>
      </c>
      <c r="I3" s="13">
        <v>1500000</v>
      </c>
      <c r="J3" s="4">
        <v>60</v>
      </c>
      <c r="K3" s="4">
        <v>1</v>
      </c>
      <c r="L3" s="4" t="s">
        <v>18</v>
      </c>
      <c r="M3" s="4" t="s">
        <v>19</v>
      </c>
      <c r="N3" s="4" t="s">
        <v>623</v>
      </c>
      <c r="O3" s="4" t="s">
        <v>625</v>
      </c>
      <c r="P3" s="5">
        <v>0.18</v>
      </c>
      <c r="Q3" s="14">
        <f>PMT($V$9/12,$V$12,-$V$8)</f>
        <v>38090.141140663625</v>
      </c>
      <c r="R3" s="4">
        <v>1000000</v>
      </c>
      <c r="S3" s="2" t="s">
        <v>12</v>
      </c>
      <c r="U3" s="3" t="s">
        <v>630</v>
      </c>
      <c r="V3" s="8">
        <v>0.18</v>
      </c>
      <c r="X3" s="3" t="s">
        <v>630</v>
      </c>
      <c r="Y3" s="8">
        <v>0.18</v>
      </c>
      <c r="AA3" s="3" t="s">
        <v>630</v>
      </c>
      <c r="AB3" s="8">
        <v>0.18</v>
      </c>
    </row>
    <row r="4" spans="1:28" x14ac:dyDescent="0.3">
      <c r="A4" s="4">
        <v>3</v>
      </c>
      <c r="B4" s="4" t="s">
        <v>20</v>
      </c>
      <c r="C4" s="4" t="s">
        <v>11</v>
      </c>
      <c r="D4" s="4" t="s">
        <v>17</v>
      </c>
      <c r="E4" s="4" t="s">
        <v>13</v>
      </c>
      <c r="F4" s="4" t="s">
        <v>17</v>
      </c>
      <c r="G4" s="4">
        <v>80000</v>
      </c>
      <c r="H4" s="4">
        <v>0</v>
      </c>
      <c r="I4" s="13">
        <v>1500000</v>
      </c>
      <c r="J4" s="4">
        <v>60</v>
      </c>
      <c r="K4" s="4">
        <v>1</v>
      </c>
      <c r="L4" s="4" t="s">
        <v>14</v>
      </c>
      <c r="M4" s="4" t="s">
        <v>15</v>
      </c>
      <c r="N4" s="4" t="s">
        <v>623</v>
      </c>
      <c r="O4" s="4" t="s">
        <v>625</v>
      </c>
      <c r="P4" s="5">
        <v>0.18</v>
      </c>
      <c r="Q4" s="14">
        <f>PMT($V$9/12,$V$12,-$V$8)</f>
        <v>38090.141140663625</v>
      </c>
      <c r="R4" s="4">
        <v>950000</v>
      </c>
      <c r="S4" s="2" t="s">
        <v>17</v>
      </c>
      <c r="U4" s="3" t="s">
        <v>631</v>
      </c>
      <c r="V4" s="3">
        <v>5</v>
      </c>
      <c r="X4" s="3" t="s">
        <v>631</v>
      </c>
      <c r="Y4" s="3">
        <v>5</v>
      </c>
      <c r="AA4" s="3" t="s">
        <v>631</v>
      </c>
      <c r="AB4" s="3">
        <v>5</v>
      </c>
    </row>
    <row r="5" spans="1:28" x14ac:dyDescent="0.3">
      <c r="A5" s="4">
        <v>4</v>
      </c>
      <c r="B5" s="4" t="s">
        <v>21</v>
      </c>
      <c r="C5" s="4" t="s">
        <v>11</v>
      </c>
      <c r="D5" s="4" t="s">
        <v>17</v>
      </c>
      <c r="E5" s="4" t="s">
        <v>22</v>
      </c>
      <c r="F5" s="4" t="s">
        <v>12</v>
      </c>
      <c r="G5" s="4">
        <v>25000</v>
      </c>
      <c r="H5" s="4">
        <v>10000</v>
      </c>
      <c r="I5" s="13">
        <v>500000</v>
      </c>
      <c r="J5" s="4">
        <v>60</v>
      </c>
      <c r="K5" s="4">
        <v>1</v>
      </c>
      <c r="L5" s="4" t="s">
        <v>14</v>
      </c>
      <c r="M5" s="4" t="s">
        <v>15</v>
      </c>
      <c r="N5" s="4" t="s">
        <v>623</v>
      </c>
      <c r="O5" s="4" t="s">
        <v>625</v>
      </c>
      <c r="P5" s="5">
        <v>0.18</v>
      </c>
      <c r="Q5" s="14">
        <f>PMT($V$15/12,$V$18,-$V$14)</f>
        <v>12696.713713554542</v>
      </c>
      <c r="R5" s="4">
        <v>300000</v>
      </c>
      <c r="S5" s="2" t="s">
        <v>12</v>
      </c>
      <c r="U5" s="3" t="s">
        <v>632</v>
      </c>
      <c r="V5" s="3">
        <v>12</v>
      </c>
      <c r="X5" s="3" t="s">
        <v>632</v>
      </c>
      <c r="Y5" s="3">
        <v>12</v>
      </c>
      <c r="AA5" s="3" t="s">
        <v>632</v>
      </c>
      <c r="AB5" s="3">
        <v>12</v>
      </c>
    </row>
    <row r="6" spans="1:28" x14ac:dyDescent="0.3">
      <c r="A6" s="4">
        <v>5</v>
      </c>
      <c r="B6" s="4" t="s">
        <v>23</v>
      </c>
      <c r="C6" s="4" t="s">
        <v>11</v>
      </c>
      <c r="D6" s="4" t="s">
        <v>12</v>
      </c>
      <c r="E6" s="4" t="s">
        <v>13</v>
      </c>
      <c r="F6" s="4" t="s">
        <v>12</v>
      </c>
      <c r="G6" s="4">
        <v>50000</v>
      </c>
      <c r="H6" s="4">
        <v>0</v>
      </c>
      <c r="I6" s="13">
        <v>500000</v>
      </c>
      <c r="J6" s="4">
        <v>60</v>
      </c>
      <c r="K6" s="4">
        <v>1</v>
      </c>
      <c r="L6" s="4" t="s">
        <v>14</v>
      </c>
      <c r="M6" s="4" t="s">
        <v>15</v>
      </c>
      <c r="N6" s="4" t="s">
        <v>623</v>
      </c>
      <c r="O6" s="4" t="s">
        <v>625</v>
      </c>
      <c r="P6" s="5">
        <v>0.18</v>
      </c>
      <c r="Q6" s="14">
        <f>PMT($V$15/12,$V$18,-$V$14)</f>
        <v>12696.713713554542</v>
      </c>
      <c r="R6" s="4">
        <v>450000</v>
      </c>
      <c r="S6" s="2" t="s">
        <v>17</v>
      </c>
      <c r="U6" s="3" t="s">
        <v>633</v>
      </c>
      <c r="V6" s="3">
        <v>60</v>
      </c>
      <c r="X6" s="3" t="s">
        <v>633</v>
      </c>
      <c r="Y6" s="3">
        <v>60</v>
      </c>
      <c r="AA6" s="3" t="s">
        <v>633</v>
      </c>
      <c r="AB6" s="3">
        <v>60</v>
      </c>
    </row>
    <row r="7" spans="1:28" x14ac:dyDescent="0.3">
      <c r="A7" s="4">
        <v>6</v>
      </c>
      <c r="B7" s="4" t="s">
        <v>24</v>
      </c>
      <c r="C7" s="4" t="s">
        <v>11</v>
      </c>
      <c r="D7" s="4" t="s">
        <v>17</v>
      </c>
      <c r="E7" s="4" t="s">
        <v>13</v>
      </c>
      <c r="F7" s="4" t="s">
        <v>17</v>
      </c>
      <c r="G7" s="4">
        <v>200000</v>
      </c>
      <c r="H7" s="4">
        <v>50000</v>
      </c>
      <c r="I7" s="13">
        <v>1500000</v>
      </c>
      <c r="J7" s="4">
        <v>60</v>
      </c>
      <c r="K7" s="4">
        <v>1</v>
      </c>
      <c r="L7" s="4" t="s">
        <v>14</v>
      </c>
      <c r="M7" s="4" t="s">
        <v>15</v>
      </c>
      <c r="N7" s="4" t="s">
        <v>623</v>
      </c>
      <c r="O7" s="4" t="s">
        <v>625</v>
      </c>
      <c r="P7" s="5">
        <v>0.18</v>
      </c>
      <c r="Q7" s="14">
        <f>PMT($V$21/12,$V$24,-$V$20)</f>
        <v>7618.0282281327254</v>
      </c>
      <c r="R7" s="4">
        <v>1500000</v>
      </c>
      <c r="S7" s="2" t="s">
        <v>17</v>
      </c>
    </row>
    <row r="8" spans="1:28" x14ac:dyDescent="0.3">
      <c r="A8" s="4">
        <v>7</v>
      </c>
      <c r="B8" s="4" t="s">
        <v>25</v>
      </c>
      <c r="C8" s="4" t="s">
        <v>11</v>
      </c>
      <c r="D8" s="4" t="s">
        <v>17</v>
      </c>
      <c r="E8" s="4" t="s">
        <v>22</v>
      </c>
      <c r="F8" s="4" t="s">
        <v>12</v>
      </c>
      <c r="G8" s="4">
        <v>30000</v>
      </c>
      <c r="H8" s="4">
        <v>10000</v>
      </c>
      <c r="I8" s="13">
        <v>1000000</v>
      </c>
      <c r="J8" s="4">
        <v>60</v>
      </c>
      <c r="K8" s="4">
        <v>1</v>
      </c>
      <c r="L8" s="4" t="s">
        <v>14</v>
      </c>
      <c r="M8" s="4" t="s">
        <v>15</v>
      </c>
      <c r="N8" s="4" t="s">
        <v>623</v>
      </c>
      <c r="O8" s="4" t="s">
        <v>625</v>
      </c>
      <c r="P8" s="5">
        <v>0.18</v>
      </c>
      <c r="Q8" s="14">
        <f t="shared" ref="Q8:Q9" si="0">PMT($V$3/12,$V$6,-$V$2)</f>
        <v>25393.427427109084</v>
      </c>
      <c r="R8" s="4">
        <v>450000</v>
      </c>
      <c r="S8" s="2" t="s">
        <v>12</v>
      </c>
      <c r="U8" s="3" t="s">
        <v>629</v>
      </c>
      <c r="V8" s="4">
        <v>1500000</v>
      </c>
      <c r="X8" s="3" t="s">
        <v>629</v>
      </c>
      <c r="Y8" s="4">
        <v>200000</v>
      </c>
      <c r="AA8" s="3" t="s">
        <v>629</v>
      </c>
      <c r="AB8" s="4">
        <v>680000</v>
      </c>
    </row>
    <row r="9" spans="1:28" x14ac:dyDescent="0.3">
      <c r="A9" s="4">
        <v>8</v>
      </c>
      <c r="B9" s="4" t="s">
        <v>26</v>
      </c>
      <c r="C9" s="4" t="s">
        <v>11</v>
      </c>
      <c r="D9" s="4" t="s">
        <v>17</v>
      </c>
      <c r="E9" s="4" t="s">
        <v>13</v>
      </c>
      <c r="F9" s="4" t="s">
        <v>12</v>
      </c>
      <c r="G9" s="4">
        <v>75000</v>
      </c>
      <c r="H9" s="4">
        <v>25000</v>
      </c>
      <c r="I9" s="13">
        <v>1000000</v>
      </c>
      <c r="J9" s="4">
        <v>60</v>
      </c>
      <c r="K9" s="4">
        <v>0</v>
      </c>
      <c r="L9" s="4" t="s">
        <v>27</v>
      </c>
      <c r="M9" s="4" t="s">
        <v>19</v>
      </c>
      <c r="N9" s="4" t="s">
        <v>623</v>
      </c>
      <c r="O9" s="4" t="s">
        <v>625</v>
      </c>
      <c r="P9" s="5">
        <v>0.18</v>
      </c>
      <c r="Q9" s="14">
        <f t="shared" si="0"/>
        <v>25393.427427109084</v>
      </c>
      <c r="R9" s="4">
        <v>500000</v>
      </c>
      <c r="S9" s="2" t="s">
        <v>12</v>
      </c>
      <c r="U9" s="3" t="s">
        <v>630</v>
      </c>
      <c r="V9" s="8">
        <v>0.18</v>
      </c>
      <c r="X9" s="3" t="s">
        <v>630</v>
      </c>
      <c r="Y9" s="8">
        <v>0.18</v>
      </c>
      <c r="AA9" s="3" t="s">
        <v>630</v>
      </c>
      <c r="AB9" s="8">
        <v>0.18</v>
      </c>
    </row>
    <row r="10" spans="1:28" x14ac:dyDescent="0.3">
      <c r="A10" s="4">
        <v>9</v>
      </c>
      <c r="B10" s="4" t="s">
        <v>28</v>
      </c>
      <c r="C10" s="4" t="s">
        <v>11</v>
      </c>
      <c r="D10" s="4" t="s">
        <v>17</v>
      </c>
      <c r="E10" s="4" t="s">
        <v>13</v>
      </c>
      <c r="F10" s="4" t="s">
        <v>12</v>
      </c>
      <c r="G10" s="4">
        <v>50000</v>
      </c>
      <c r="H10" s="4">
        <v>35000</v>
      </c>
      <c r="I10" s="13">
        <v>1500000</v>
      </c>
      <c r="J10" s="4">
        <v>60</v>
      </c>
      <c r="K10" s="4">
        <v>1</v>
      </c>
      <c r="L10" s="4" t="s">
        <v>14</v>
      </c>
      <c r="M10" s="4" t="s">
        <v>15</v>
      </c>
      <c r="N10" s="4" t="s">
        <v>623</v>
      </c>
      <c r="O10" s="4" t="s">
        <v>625</v>
      </c>
      <c r="P10" s="5">
        <v>0.18</v>
      </c>
      <c r="Q10" s="14">
        <f>PMT($V$9/12,$V$12,-$V$8)</f>
        <v>38090.141140663625</v>
      </c>
      <c r="R10" s="4">
        <v>800000</v>
      </c>
      <c r="S10" s="2" t="s">
        <v>17</v>
      </c>
      <c r="U10" s="3" t="s">
        <v>631</v>
      </c>
      <c r="V10" s="3">
        <v>5</v>
      </c>
      <c r="X10" s="3" t="s">
        <v>631</v>
      </c>
      <c r="Y10" s="3">
        <v>5</v>
      </c>
      <c r="AA10" s="3" t="s">
        <v>631</v>
      </c>
      <c r="AB10" s="3">
        <v>5</v>
      </c>
    </row>
    <row r="11" spans="1:28" x14ac:dyDescent="0.3">
      <c r="A11" s="4">
        <v>10</v>
      </c>
      <c r="B11" s="4" t="s">
        <v>29</v>
      </c>
      <c r="C11" s="4" t="s">
        <v>11</v>
      </c>
      <c r="D11" s="4" t="s">
        <v>17</v>
      </c>
      <c r="E11" s="4" t="s">
        <v>13</v>
      </c>
      <c r="F11" s="4" t="s">
        <v>12</v>
      </c>
      <c r="G11" s="4">
        <v>85000</v>
      </c>
      <c r="H11" s="4">
        <v>0</v>
      </c>
      <c r="I11" s="13">
        <v>1000000</v>
      </c>
      <c r="J11" s="4">
        <v>60</v>
      </c>
      <c r="K11" s="4">
        <v>1</v>
      </c>
      <c r="L11" s="4" t="s">
        <v>27</v>
      </c>
      <c r="M11" s="4" t="s">
        <v>19</v>
      </c>
      <c r="N11" s="4" t="s">
        <v>623</v>
      </c>
      <c r="O11" s="4" t="s">
        <v>625</v>
      </c>
      <c r="P11" s="5">
        <v>0.18</v>
      </c>
      <c r="Q11" s="14">
        <f>PMT($V$3/12,$V$6,-$V$2)</f>
        <v>25393.427427109084</v>
      </c>
      <c r="R11" s="4">
        <v>600000</v>
      </c>
      <c r="S11" s="2" t="s">
        <v>12</v>
      </c>
      <c r="U11" s="3" t="s">
        <v>632</v>
      </c>
      <c r="V11" s="3">
        <v>12</v>
      </c>
      <c r="X11" s="3" t="s">
        <v>632</v>
      </c>
      <c r="Y11" s="3">
        <v>12</v>
      </c>
      <c r="AA11" s="3" t="s">
        <v>632</v>
      </c>
      <c r="AB11" s="3">
        <v>12</v>
      </c>
    </row>
    <row r="12" spans="1:28" x14ac:dyDescent="0.3">
      <c r="A12" s="4">
        <v>11</v>
      </c>
      <c r="B12" s="4" t="s">
        <v>30</v>
      </c>
      <c r="C12" s="4" t="s">
        <v>11</v>
      </c>
      <c r="D12" s="4" t="s">
        <v>17</v>
      </c>
      <c r="E12" s="4" t="s">
        <v>13</v>
      </c>
      <c r="F12" s="4" t="s">
        <v>12</v>
      </c>
      <c r="G12" s="4">
        <v>50000</v>
      </c>
      <c r="H12" s="4">
        <v>30000</v>
      </c>
      <c r="I12" s="13">
        <v>2000000</v>
      </c>
      <c r="J12" s="4">
        <v>60</v>
      </c>
      <c r="K12" s="4">
        <v>1</v>
      </c>
      <c r="L12" s="4" t="s">
        <v>14</v>
      </c>
      <c r="M12" s="4" t="s">
        <v>15</v>
      </c>
      <c r="N12" s="4" t="s">
        <v>623</v>
      </c>
      <c r="O12" s="4" t="s">
        <v>625</v>
      </c>
      <c r="P12" s="5">
        <v>0.18</v>
      </c>
      <c r="Q12" s="14">
        <f>PMT($V$27/12,$V$30,-$V$26)</f>
        <v>50786.854854218167</v>
      </c>
      <c r="R12" s="4">
        <v>950000</v>
      </c>
      <c r="S12" s="2" t="s">
        <v>12</v>
      </c>
      <c r="U12" s="3" t="s">
        <v>633</v>
      </c>
      <c r="V12" s="3">
        <v>60</v>
      </c>
      <c r="X12" s="3" t="s">
        <v>633</v>
      </c>
      <c r="Y12" s="3">
        <v>60</v>
      </c>
      <c r="AA12" s="3" t="s">
        <v>633</v>
      </c>
      <c r="AB12" s="3">
        <v>60</v>
      </c>
    </row>
    <row r="13" spans="1:28" x14ac:dyDescent="0.3">
      <c r="A13" s="4">
        <v>12</v>
      </c>
      <c r="B13" s="4" t="s">
        <v>31</v>
      </c>
      <c r="C13" s="4" t="s">
        <v>11</v>
      </c>
      <c r="D13" s="4" t="s">
        <v>17</v>
      </c>
      <c r="E13" s="4" t="s">
        <v>13</v>
      </c>
      <c r="F13" s="4" t="s">
        <v>17</v>
      </c>
      <c r="G13" s="4">
        <v>65000</v>
      </c>
      <c r="H13" s="4">
        <v>20000</v>
      </c>
      <c r="I13" s="13">
        <v>800000</v>
      </c>
      <c r="J13" s="4">
        <v>60</v>
      </c>
      <c r="K13" s="4">
        <v>1</v>
      </c>
      <c r="L13" s="4" t="s">
        <v>14</v>
      </c>
      <c r="M13" s="4" t="s">
        <v>15</v>
      </c>
      <c r="N13" s="4" t="s">
        <v>623</v>
      </c>
      <c r="O13" s="4" t="s">
        <v>625</v>
      </c>
      <c r="P13" s="5">
        <v>0.18</v>
      </c>
      <c r="Q13" s="14">
        <f>PMT($V$33/12,$V$36,-$V$32)</f>
        <v>20314.741941687265</v>
      </c>
      <c r="R13" s="4">
        <v>800000</v>
      </c>
      <c r="S13" s="2" t="s">
        <v>12</v>
      </c>
    </row>
    <row r="14" spans="1:28" x14ac:dyDescent="0.3">
      <c r="A14" s="4">
        <v>13</v>
      </c>
      <c r="B14" s="4" t="s">
        <v>32</v>
      </c>
      <c r="C14" s="4" t="s">
        <v>11</v>
      </c>
      <c r="D14" s="4" t="s">
        <v>17</v>
      </c>
      <c r="E14" s="4" t="s">
        <v>13</v>
      </c>
      <c r="F14" s="4" t="s">
        <v>12</v>
      </c>
      <c r="G14" s="4">
        <v>55000</v>
      </c>
      <c r="H14" s="4">
        <v>25000</v>
      </c>
      <c r="I14" s="13">
        <v>1000000</v>
      </c>
      <c r="J14" s="4">
        <v>60</v>
      </c>
      <c r="K14" s="4">
        <v>1</v>
      </c>
      <c r="L14" s="4" t="s">
        <v>14</v>
      </c>
      <c r="M14" s="4" t="s">
        <v>15</v>
      </c>
      <c r="N14" s="4" t="s">
        <v>623</v>
      </c>
      <c r="O14" s="4" t="s">
        <v>625</v>
      </c>
      <c r="P14" s="5">
        <v>0.18</v>
      </c>
      <c r="Q14" s="14">
        <f>PMT($V$3/12,$V$6,-$V$2)</f>
        <v>25393.427427109084</v>
      </c>
      <c r="R14" s="4">
        <v>850000</v>
      </c>
      <c r="S14" s="2" t="s">
        <v>12</v>
      </c>
      <c r="U14" s="3" t="s">
        <v>629</v>
      </c>
      <c r="V14" s="4">
        <v>500000</v>
      </c>
      <c r="X14" s="3" t="s">
        <v>629</v>
      </c>
      <c r="Y14" s="4">
        <v>549820</v>
      </c>
      <c r="AA14" s="3" t="s">
        <v>629</v>
      </c>
      <c r="AB14" s="4">
        <v>620000</v>
      </c>
    </row>
    <row r="15" spans="1:28" x14ac:dyDescent="0.3">
      <c r="A15" s="4">
        <v>14</v>
      </c>
      <c r="B15" s="4" t="s">
        <v>33</v>
      </c>
      <c r="C15" s="4" t="s">
        <v>11</v>
      </c>
      <c r="D15" s="4" t="s">
        <v>12</v>
      </c>
      <c r="E15" s="4" t="s">
        <v>13</v>
      </c>
      <c r="F15" s="4" t="s">
        <v>12</v>
      </c>
      <c r="G15" s="4">
        <v>85000</v>
      </c>
      <c r="H15" s="4">
        <v>0</v>
      </c>
      <c r="I15" s="13">
        <v>2000000</v>
      </c>
      <c r="J15" s="4">
        <v>60</v>
      </c>
      <c r="K15" s="4">
        <v>1</v>
      </c>
      <c r="L15" s="4" t="s">
        <v>18</v>
      </c>
      <c r="M15" s="4" t="s">
        <v>19</v>
      </c>
      <c r="N15" s="4" t="s">
        <v>623</v>
      </c>
      <c r="O15" s="4" t="s">
        <v>625</v>
      </c>
      <c r="P15" s="5">
        <v>0.18</v>
      </c>
      <c r="Q15" s="14">
        <f>PMT($V$27/12,$V$30,-$V$26)</f>
        <v>50786.854854218167</v>
      </c>
      <c r="R15" s="4">
        <v>800000</v>
      </c>
      <c r="S15" s="2" t="s">
        <v>17</v>
      </c>
      <c r="U15" s="3" t="s">
        <v>630</v>
      </c>
      <c r="V15" s="8">
        <v>0.18</v>
      </c>
      <c r="X15" s="3" t="s">
        <v>630</v>
      </c>
      <c r="Y15" s="8">
        <v>0.18</v>
      </c>
      <c r="AA15" s="3" t="s">
        <v>630</v>
      </c>
      <c r="AB15" s="8">
        <v>0.18</v>
      </c>
    </row>
    <row r="16" spans="1:28" x14ac:dyDescent="0.3">
      <c r="A16" s="4">
        <v>15</v>
      </c>
      <c r="B16" s="4" t="s">
        <v>34</v>
      </c>
      <c r="C16" s="4" t="s">
        <v>11</v>
      </c>
      <c r="D16" s="4" t="s">
        <v>17</v>
      </c>
      <c r="E16" s="4" t="s">
        <v>13</v>
      </c>
      <c r="F16" s="4" t="s">
        <v>12</v>
      </c>
      <c r="G16" s="4">
        <v>85000</v>
      </c>
      <c r="H16" s="4">
        <v>30000</v>
      </c>
      <c r="I16" s="13">
        <v>1500000</v>
      </c>
      <c r="J16" s="4">
        <v>60</v>
      </c>
      <c r="K16" s="4">
        <v>1</v>
      </c>
      <c r="L16" s="4" t="s">
        <v>14</v>
      </c>
      <c r="M16" s="4" t="s">
        <v>15</v>
      </c>
      <c r="N16" s="4" t="s">
        <v>623</v>
      </c>
      <c r="O16" s="4" t="s">
        <v>625</v>
      </c>
      <c r="P16" s="5">
        <v>0.18</v>
      </c>
      <c r="Q16" s="14">
        <f>PMT($V$9/12,$V$12,-$V$8)</f>
        <v>38090.141140663625</v>
      </c>
      <c r="R16" s="4">
        <v>1200000</v>
      </c>
      <c r="S16" s="2" t="s">
        <v>12</v>
      </c>
      <c r="U16" s="3" t="s">
        <v>631</v>
      </c>
      <c r="V16" s="3">
        <v>5</v>
      </c>
      <c r="X16" s="3" t="s">
        <v>631</v>
      </c>
      <c r="Y16" s="3">
        <v>5</v>
      </c>
      <c r="AA16" s="3" t="s">
        <v>631</v>
      </c>
      <c r="AB16" s="3">
        <v>5</v>
      </c>
    </row>
    <row r="17" spans="1:28" x14ac:dyDescent="0.3">
      <c r="A17" s="4">
        <v>16</v>
      </c>
      <c r="B17" s="4" t="s">
        <v>35</v>
      </c>
      <c r="C17" s="4" t="s">
        <v>11</v>
      </c>
      <c r="D17" s="4" t="s">
        <v>12</v>
      </c>
      <c r="E17" s="4" t="s">
        <v>13</v>
      </c>
      <c r="F17" s="4" t="s">
        <v>12</v>
      </c>
      <c r="G17" s="4">
        <v>45000</v>
      </c>
      <c r="H17" s="4">
        <v>40000</v>
      </c>
      <c r="I17" s="13">
        <v>1000000</v>
      </c>
      <c r="J17" s="4">
        <v>60</v>
      </c>
      <c r="K17" s="4">
        <v>1</v>
      </c>
      <c r="L17" s="4" t="s">
        <v>14</v>
      </c>
      <c r="M17" s="4" t="s">
        <v>15</v>
      </c>
      <c r="N17" s="4" t="s">
        <v>623</v>
      </c>
      <c r="O17" s="4" t="s">
        <v>625</v>
      </c>
      <c r="P17" s="5">
        <v>0.18</v>
      </c>
      <c r="Q17" s="14">
        <f>PMT($V$3/12,$V$6,-$V$2)</f>
        <v>25393.427427109084</v>
      </c>
      <c r="R17" s="4">
        <v>1000000</v>
      </c>
      <c r="S17" s="2" t="s">
        <v>12</v>
      </c>
      <c r="U17" s="3" t="s">
        <v>632</v>
      </c>
      <c r="V17" s="3">
        <v>12</v>
      </c>
      <c r="X17" s="3" t="s">
        <v>632</v>
      </c>
      <c r="Y17" s="3">
        <v>12</v>
      </c>
      <c r="AA17" s="3" t="s">
        <v>632</v>
      </c>
      <c r="AB17" s="3">
        <v>12</v>
      </c>
    </row>
    <row r="18" spans="1:28" x14ac:dyDescent="0.3">
      <c r="A18" s="4">
        <v>17</v>
      </c>
      <c r="B18" s="4" t="s">
        <v>36</v>
      </c>
      <c r="C18" s="4" t="s">
        <v>11</v>
      </c>
      <c r="D18" s="4" t="s">
        <v>12</v>
      </c>
      <c r="E18" s="4" t="s">
        <v>22</v>
      </c>
      <c r="F18" s="4" t="s">
        <v>12</v>
      </c>
      <c r="G18" s="4">
        <v>25000</v>
      </c>
      <c r="H18" s="4">
        <v>0</v>
      </c>
      <c r="I18" s="13">
        <v>500000</v>
      </c>
      <c r="J18" s="4">
        <v>60</v>
      </c>
      <c r="K18" s="4">
        <v>0</v>
      </c>
      <c r="L18" s="4" t="s">
        <v>14</v>
      </c>
      <c r="M18" s="4" t="s">
        <v>15</v>
      </c>
      <c r="N18" s="4" t="s">
        <v>623</v>
      </c>
      <c r="O18" s="4" t="s">
        <v>625</v>
      </c>
      <c r="P18" s="5">
        <v>0.18</v>
      </c>
      <c r="Q18" s="14">
        <f t="shared" ref="Q18:Q19" si="1">PMT($V$15/12,$V$18,-$V$14)</f>
        <v>12696.713713554542</v>
      </c>
      <c r="R18" s="4">
        <v>250000</v>
      </c>
      <c r="S18" s="2" t="s">
        <v>12</v>
      </c>
      <c r="U18" s="3" t="s">
        <v>633</v>
      </c>
      <c r="V18" s="3">
        <v>60</v>
      </c>
      <c r="X18" s="3" t="s">
        <v>633</v>
      </c>
      <c r="Y18" s="3">
        <v>60</v>
      </c>
      <c r="AA18" s="3" t="s">
        <v>633</v>
      </c>
      <c r="AB18" s="3">
        <v>60</v>
      </c>
    </row>
    <row r="19" spans="1:28" x14ac:dyDescent="0.3">
      <c r="A19" s="4">
        <v>18</v>
      </c>
      <c r="B19" s="4" t="s">
        <v>37</v>
      </c>
      <c r="C19" s="4" t="s">
        <v>38</v>
      </c>
      <c r="D19" s="4" t="s">
        <v>12</v>
      </c>
      <c r="E19" s="4" t="s">
        <v>13</v>
      </c>
      <c r="F19" s="4" t="s">
        <v>12</v>
      </c>
      <c r="G19" s="4">
        <v>50000</v>
      </c>
      <c r="H19" s="4">
        <v>0</v>
      </c>
      <c r="I19" s="13">
        <v>500000</v>
      </c>
      <c r="J19" s="4">
        <v>60</v>
      </c>
      <c r="K19" s="4">
        <v>0</v>
      </c>
      <c r="L19" s="4" t="s">
        <v>14</v>
      </c>
      <c r="M19" s="4" t="s">
        <v>19</v>
      </c>
      <c r="N19" s="4" t="s">
        <v>623</v>
      </c>
      <c r="O19" s="4" t="s">
        <v>625</v>
      </c>
      <c r="P19" s="5">
        <v>0.18</v>
      </c>
      <c r="Q19" s="14">
        <f t="shared" si="1"/>
        <v>12696.713713554542</v>
      </c>
      <c r="R19" s="4">
        <v>650000</v>
      </c>
      <c r="S19" s="2" t="s">
        <v>12</v>
      </c>
    </row>
    <row r="20" spans="1:28" x14ac:dyDescent="0.3">
      <c r="A20" s="4">
        <v>19</v>
      </c>
      <c r="B20" s="4" t="s">
        <v>39</v>
      </c>
      <c r="C20" s="4" t="s">
        <v>11</v>
      </c>
      <c r="D20" s="4" t="s">
        <v>17</v>
      </c>
      <c r="E20" s="4" t="s">
        <v>22</v>
      </c>
      <c r="F20" s="4" t="s">
        <v>12</v>
      </c>
      <c r="G20" s="4">
        <v>15000</v>
      </c>
      <c r="H20" s="4">
        <v>10000</v>
      </c>
      <c r="I20" s="13">
        <v>600000</v>
      </c>
      <c r="J20" s="4">
        <v>60</v>
      </c>
      <c r="K20" s="4">
        <v>1</v>
      </c>
      <c r="L20" s="4" t="s">
        <v>18</v>
      </c>
      <c r="M20" s="4" t="s">
        <v>19</v>
      </c>
      <c r="N20" s="4" t="s">
        <v>623</v>
      </c>
      <c r="O20" s="4" t="s">
        <v>625</v>
      </c>
      <c r="P20" s="5">
        <v>0.18</v>
      </c>
      <c r="Q20" s="14">
        <f>PMT($V$39/12,$V$42,-$V$38)</f>
        <v>15236.056456265451</v>
      </c>
      <c r="R20" s="4">
        <v>200000</v>
      </c>
      <c r="S20" s="2" t="s">
        <v>17</v>
      </c>
      <c r="U20" s="3" t="s">
        <v>629</v>
      </c>
      <c r="V20" s="4">
        <v>300000</v>
      </c>
      <c r="X20" s="3" t="s">
        <v>629</v>
      </c>
      <c r="Y20" s="4">
        <v>1220000</v>
      </c>
      <c r="AA20" s="3" t="s">
        <v>629</v>
      </c>
      <c r="AB20" s="4">
        <v>952000</v>
      </c>
    </row>
    <row r="21" spans="1:28" x14ac:dyDescent="0.3">
      <c r="A21" s="4">
        <v>20</v>
      </c>
      <c r="B21" s="4" t="s">
        <v>40</v>
      </c>
      <c r="C21" s="4" t="s">
        <v>11</v>
      </c>
      <c r="D21" s="4" t="s">
        <v>17</v>
      </c>
      <c r="E21" s="4" t="s">
        <v>13</v>
      </c>
      <c r="F21" s="4" t="s">
        <v>17</v>
      </c>
      <c r="G21" s="4">
        <v>150000</v>
      </c>
      <c r="H21" s="4">
        <v>0</v>
      </c>
      <c r="I21" s="13">
        <v>2000000</v>
      </c>
      <c r="J21" s="4">
        <v>60</v>
      </c>
      <c r="K21" s="4">
        <v>1</v>
      </c>
      <c r="L21" s="4" t="s">
        <v>14</v>
      </c>
      <c r="M21" s="4" t="s">
        <v>15</v>
      </c>
      <c r="N21" s="4" t="s">
        <v>623</v>
      </c>
      <c r="O21" s="4" t="s">
        <v>625</v>
      </c>
      <c r="P21" s="5">
        <v>0.18</v>
      </c>
      <c r="Q21" s="14">
        <f>PMT($V$27/12,$V$30,-$V$26)</f>
        <v>50786.854854218167</v>
      </c>
      <c r="R21" s="4">
        <v>950000</v>
      </c>
      <c r="S21" s="2" t="s">
        <v>12</v>
      </c>
      <c r="U21" s="3" t="s">
        <v>630</v>
      </c>
      <c r="V21" s="8">
        <v>0.18</v>
      </c>
      <c r="X21" s="3" t="s">
        <v>630</v>
      </c>
      <c r="Y21" s="8">
        <v>0.18</v>
      </c>
      <c r="AA21" s="3" t="s">
        <v>630</v>
      </c>
      <c r="AB21" s="8">
        <v>0.18</v>
      </c>
    </row>
    <row r="22" spans="1:28" x14ac:dyDescent="0.3">
      <c r="A22" s="4">
        <v>21</v>
      </c>
      <c r="B22" s="4" t="s">
        <v>41</v>
      </c>
      <c r="C22" s="4" t="s">
        <v>11</v>
      </c>
      <c r="D22" s="4" t="s">
        <v>17</v>
      </c>
      <c r="E22" s="4" t="s">
        <v>22</v>
      </c>
      <c r="F22" s="4" t="s">
        <v>12</v>
      </c>
      <c r="G22" s="4">
        <v>20000</v>
      </c>
      <c r="H22" s="4">
        <v>10000</v>
      </c>
      <c r="I22" s="13">
        <v>756201</v>
      </c>
      <c r="J22" s="4">
        <v>60</v>
      </c>
      <c r="K22" s="4">
        <v>0</v>
      </c>
      <c r="L22" s="4" t="s">
        <v>14</v>
      </c>
      <c r="M22" s="4" t="s">
        <v>19</v>
      </c>
      <c r="N22" s="4" t="s">
        <v>623</v>
      </c>
      <c r="O22" s="4" t="s">
        <v>625</v>
      </c>
      <c r="P22" s="5">
        <v>0.18</v>
      </c>
      <c r="Q22" s="14">
        <f>PMT($Y$3/12,$Y$6,-$Y$2)</f>
        <v>19202.535213807318</v>
      </c>
      <c r="R22" s="4">
        <v>500000</v>
      </c>
      <c r="S22" s="2" t="s">
        <v>17</v>
      </c>
      <c r="U22" s="3" t="s">
        <v>631</v>
      </c>
      <c r="V22" s="3">
        <v>5</v>
      </c>
      <c r="X22" s="3" t="s">
        <v>631</v>
      </c>
      <c r="Y22" s="3">
        <v>5</v>
      </c>
      <c r="AA22" s="3" t="s">
        <v>631</v>
      </c>
      <c r="AB22" s="3">
        <v>5</v>
      </c>
    </row>
    <row r="23" spans="1:28" x14ac:dyDescent="0.3">
      <c r="A23" s="4">
        <v>22</v>
      </c>
      <c r="B23" s="4" t="s">
        <v>42</v>
      </c>
      <c r="C23" s="4" t="s">
        <v>11</v>
      </c>
      <c r="D23" s="4" t="s">
        <v>17</v>
      </c>
      <c r="E23" s="4" t="s">
        <v>13</v>
      </c>
      <c r="F23" s="4" t="s">
        <v>12</v>
      </c>
      <c r="G23" s="4">
        <v>50000</v>
      </c>
      <c r="H23" s="4">
        <v>25000</v>
      </c>
      <c r="I23" s="13">
        <v>200000</v>
      </c>
      <c r="J23" s="4">
        <v>60</v>
      </c>
      <c r="K23" s="4">
        <v>1</v>
      </c>
      <c r="L23" s="4" t="s">
        <v>14</v>
      </c>
      <c r="M23" s="4" t="s">
        <v>15</v>
      </c>
      <c r="N23" s="4" t="s">
        <v>623</v>
      </c>
      <c r="O23" s="4" t="s">
        <v>625</v>
      </c>
      <c r="P23" s="5">
        <v>0.18</v>
      </c>
      <c r="Q23" s="14">
        <f>PMT($Y$9/12,$Y$12,-$Y$8)</f>
        <v>5078.6854854218163</v>
      </c>
      <c r="R23" s="4">
        <v>850000</v>
      </c>
      <c r="S23" s="2" t="s">
        <v>12</v>
      </c>
      <c r="U23" s="3" t="s">
        <v>632</v>
      </c>
      <c r="V23" s="3">
        <v>12</v>
      </c>
      <c r="X23" s="3" t="s">
        <v>632</v>
      </c>
      <c r="Y23" s="3">
        <v>12</v>
      </c>
      <c r="AA23" s="3" t="s">
        <v>632</v>
      </c>
      <c r="AB23" s="3">
        <v>12</v>
      </c>
    </row>
    <row r="24" spans="1:28" x14ac:dyDescent="0.3">
      <c r="A24" s="4">
        <v>23</v>
      </c>
      <c r="B24" s="4" t="s">
        <v>43</v>
      </c>
      <c r="C24" s="4" t="s">
        <v>11</v>
      </c>
      <c r="D24" s="4" t="s">
        <v>17</v>
      </c>
      <c r="E24" s="4" t="s">
        <v>22</v>
      </c>
      <c r="F24" s="4" t="s">
        <v>12</v>
      </c>
      <c r="G24" s="4">
        <v>26000</v>
      </c>
      <c r="H24" s="4">
        <v>15000</v>
      </c>
      <c r="I24" s="13">
        <v>549820</v>
      </c>
      <c r="J24" s="4">
        <v>60</v>
      </c>
      <c r="K24" s="4">
        <v>0</v>
      </c>
      <c r="L24" s="4" t="s">
        <v>27</v>
      </c>
      <c r="M24" s="4" t="s">
        <v>19</v>
      </c>
      <c r="N24" s="4" t="s">
        <v>623</v>
      </c>
      <c r="O24" s="4" t="s">
        <v>625</v>
      </c>
      <c r="P24" s="5">
        <v>0.18</v>
      </c>
      <c r="Q24" s="14">
        <f>PMT($Y$15/12,$Y$18,-$Y$14)</f>
        <v>13961.814267973117</v>
      </c>
      <c r="R24" s="4">
        <v>300000</v>
      </c>
      <c r="S24" s="2" t="s">
        <v>17</v>
      </c>
      <c r="U24" s="3" t="s">
        <v>633</v>
      </c>
      <c r="V24" s="3">
        <v>60</v>
      </c>
      <c r="X24" s="3" t="s">
        <v>633</v>
      </c>
      <c r="Y24" s="3">
        <v>60</v>
      </c>
      <c r="AA24" s="3" t="s">
        <v>633</v>
      </c>
      <c r="AB24" s="3">
        <v>60</v>
      </c>
    </row>
    <row r="25" spans="1:28" x14ac:dyDescent="0.3">
      <c r="A25" s="4">
        <v>24</v>
      </c>
      <c r="B25" s="4" t="s">
        <v>44</v>
      </c>
      <c r="C25" s="4" t="s">
        <v>11</v>
      </c>
      <c r="D25" s="4" t="s">
        <v>17</v>
      </c>
      <c r="E25" s="4" t="s">
        <v>13</v>
      </c>
      <c r="F25" s="4" t="s">
        <v>17</v>
      </c>
      <c r="G25" s="4">
        <v>100000</v>
      </c>
      <c r="H25" s="4">
        <v>0</v>
      </c>
      <c r="I25" s="13">
        <v>1500000</v>
      </c>
      <c r="J25" s="4">
        <v>60</v>
      </c>
      <c r="K25" s="4">
        <v>1</v>
      </c>
      <c r="L25" s="4" t="s">
        <v>27</v>
      </c>
      <c r="M25" s="4" t="s">
        <v>19</v>
      </c>
      <c r="N25" s="4" t="s">
        <v>623</v>
      </c>
      <c r="O25" s="4" t="s">
        <v>625</v>
      </c>
      <c r="P25" s="5">
        <v>0.18</v>
      </c>
      <c r="Q25" s="14">
        <f>PMT($V$9/12,$V$12,-$V$8)</f>
        <v>38090.141140663625</v>
      </c>
      <c r="R25" s="4">
        <v>750000</v>
      </c>
      <c r="S25" s="2" t="s">
        <v>12</v>
      </c>
    </row>
    <row r="26" spans="1:28" x14ac:dyDescent="0.3">
      <c r="A26" s="4">
        <v>25</v>
      </c>
      <c r="B26" s="4" t="s">
        <v>45</v>
      </c>
      <c r="C26" s="4" t="s">
        <v>11</v>
      </c>
      <c r="D26" s="4" t="s">
        <v>17</v>
      </c>
      <c r="E26" s="4" t="s">
        <v>13</v>
      </c>
      <c r="F26" s="4" t="s">
        <v>17</v>
      </c>
      <c r="G26" s="4">
        <v>90000</v>
      </c>
      <c r="H26" s="4">
        <v>0</v>
      </c>
      <c r="I26" s="13">
        <v>2000000</v>
      </c>
      <c r="J26" s="4">
        <v>60</v>
      </c>
      <c r="K26" s="4">
        <v>1</v>
      </c>
      <c r="L26" s="4" t="s">
        <v>27</v>
      </c>
      <c r="M26" s="4" t="s">
        <v>15</v>
      </c>
      <c r="N26" s="4" t="s">
        <v>623</v>
      </c>
      <c r="O26" s="4" t="s">
        <v>625</v>
      </c>
      <c r="P26" s="5">
        <v>0.18</v>
      </c>
      <c r="Q26" s="14">
        <f>PMT($V$27/12,$V$30,-$V$26)</f>
        <v>50786.854854218167</v>
      </c>
      <c r="R26" s="4">
        <v>850000</v>
      </c>
      <c r="S26" s="2" t="s">
        <v>12</v>
      </c>
      <c r="U26" s="3" t="s">
        <v>629</v>
      </c>
      <c r="V26" s="4">
        <v>2000000</v>
      </c>
      <c r="X26" s="3" t="s">
        <v>629</v>
      </c>
      <c r="Y26" s="4">
        <v>423600</v>
      </c>
      <c r="AA26" s="3" t="s">
        <v>629</v>
      </c>
      <c r="AB26" s="4">
        <v>840000</v>
      </c>
    </row>
    <row r="27" spans="1:28" x14ac:dyDescent="0.3">
      <c r="A27" s="4">
        <v>26</v>
      </c>
      <c r="B27" s="4" t="s">
        <v>46</v>
      </c>
      <c r="C27" s="4" t="s">
        <v>11</v>
      </c>
      <c r="D27" s="4" t="s">
        <v>17</v>
      </c>
      <c r="E27" s="4" t="s">
        <v>13</v>
      </c>
      <c r="F27" s="4" t="s">
        <v>12</v>
      </c>
      <c r="G27" s="4">
        <v>55000</v>
      </c>
      <c r="H27" s="4">
        <v>25000</v>
      </c>
      <c r="I27" s="13">
        <v>1220000</v>
      </c>
      <c r="J27" s="4">
        <v>60</v>
      </c>
      <c r="K27" s="4">
        <v>1</v>
      </c>
      <c r="L27" s="4" t="s">
        <v>27</v>
      </c>
      <c r="M27" s="4" t="s">
        <v>15</v>
      </c>
      <c r="N27" s="4" t="s">
        <v>623</v>
      </c>
      <c r="O27" s="4" t="s">
        <v>625</v>
      </c>
      <c r="P27" s="5">
        <v>0.18</v>
      </c>
      <c r="Q27" s="14">
        <f>PMT($Y$21/12,$Y$24,-$Y$20)</f>
        <v>30979.981461073083</v>
      </c>
      <c r="R27" s="4">
        <v>900000</v>
      </c>
      <c r="S27" s="2" t="s">
        <v>12</v>
      </c>
      <c r="U27" s="3" t="s">
        <v>630</v>
      </c>
      <c r="V27" s="8">
        <v>0.18</v>
      </c>
      <c r="X27" s="3" t="s">
        <v>630</v>
      </c>
      <c r="Y27" s="8">
        <v>0.18</v>
      </c>
      <c r="AA27" s="3" t="s">
        <v>630</v>
      </c>
      <c r="AB27" s="8">
        <v>0.18</v>
      </c>
    </row>
    <row r="28" spans="1:28" x14ac:dyDescent="0.3">
      <c r="A28" s="4">
        <v>27</v>
      </c>
      <c r="B28" s="4" t="s">
        <v>47</v>
      </c>
      <c r="C28" s="4" t="s">
        <v>11</v>
      </c>
      <c r="D28" s="4" t="s">
        <v>17</v>
      </c>
      <c r="E28" s="4" t="s">
        <v>22</v>
      </c>
      <c r="F28" s="4" t="s">
        <v>12</v>
      </c>
      <c r="G28" s="4">
        <v>26540</v>
      </c>
      <c r="H28" s="4">
        <v>12300</v>
      </c>
      <c r="I28" s="13">
        <v>423600</v>
      </c>
      <c r="J28" s="4">
        <v>60</v>
      </c>
      <c r="K28" s="4">
        <v>1</v>
      </c>
      <c r="L28" s="4" t="s">
        <v>14</v>
      </c>
      <c r="M28" s="4" t="s">
        <v>15</v>
      </c>
      <c r="N28" s="4" t="s">
        <v>623</v>
      </c>
      <c r="O28" s="4" t="s">
        <v>625</v>
      </c>
      <c r="P28" s="5">
        <v>0.18</v>
      </c>
      <c r="Q28" s="14">
        <f>PMT($Y$27/12,$Y$30,-$Y$26)</f>
        <v>10756.655858123409</v>
      </c>
      <c r="R28" s="4">
        <v>300000</v>
      </c>
      <c r="S28" s="2" t="s">
        <v>17</v>
      </c>
      <c r="U28" s="3" t="s">
        <v>631</v>
      </c>
      <c r="V28" s="3">
        <v>5</v>
      </c>
      <c r="X28" s="3" t="s">
        <v>631</v>
      </c>
      <c r="Y28" s="3">
        <v>5</v>
      </c>
      <c r="AA28" s="3" t="s">
        <v>631</v>
      </c>
      <c r="AB28" s="3">
        <v>5</v>
      </c>
    </row>
    <row r="29" spans="1:28" x14ac:dyDescent="0.3">
      <c r="A29" s="4">
        <v>28</v>
      </c>
      <c r="B29" s="4" t="s">
        <v>48</v>
      </c>
      <c r="C29" s="4" t="s">
        <v>11</v>
      </c>
      <c r="D29" s="4" t="s">
        <v>12</v>
      </c>
      <c r="E29" s="4" t="s">
        <v>22</v>
      </c>
      <c r="F29" s="4" t="s">
        <v>12</v>
      </c>
      <c r="G29" s="4">
        <v>20000</v>
      </c>
      <c r="H29" s="4">
        <v>0</v>
      </c>
      <c r="I29" s="13">
        <v>365890</v>
      </c>
      <c r="J29" s="4">
        <v>60</v>
      </c>
      <c r="K29" s="4">
        <v>1</v>
      </c>
      <c r="L29" s="4" t="s">
        <v>14</v>
      </c>
      <c r="M29" s="4" t="s">
        <v>19</v>
      </c>
      <c r="N29" s="4" t="s">
        <v>623</v>
      </c>
      <c r="O29" s="4" t="s">
        <v>625</v>
      </c>
      <c r="P29" s="5">
        <v>0.18</v>
      </c>
      <c r="Q29" s="14">
        <f>PMT($Y$33/12,$Y$36,-$Y$32)</f>
        <v>9291.2011613049435</v>
      </c>
      <c r="R29" s="4">
        <v>150000</v>
      </c>
      <c r="S29" s="2" t="s">
        <v>17</v>
      </c>
      <c r="U29" s="3" t="s">
        <v>632</v>
      </c>
      <c r="V29" s="3">
        <v>12</v>
      </c>
      <c r="X29" s="3" t="s">
        <v>632</v>
      </c>
      <c r="Y29" s="3">
        <v>12</v>
      </c>
      <c r="AA29" s="3" t="s">
        <v>632</v>
      </c>
      <c r="AB29" s="3">
        <v>12</v>
      </c>
    </row>
    <row r="30" spans="1:28" x14ac:dyDescent="0.3">
      <c r="A30" s="4">
        <v>29</v>
      </c>
      <c r="B30" s="4" t="s">
        <v>49</v>
      </c>
      <c r="C30" s="4" t="s">
        <v>38</v>
      </c>
      <c r="D30" s="4" t="s">
        <v>12</v>
      </c>
      <c r="E30" s="4" t="s">
        <v>13</v>
      </c>
      <c r="F30" s="4" t="s">
        <v>17</v>
      </c>
      <c r="G30" s="4">
        <v>55800</v>
      </c>
      <c r="H30" s="4">
        <v>0</v>
      </c>
      <c r="I30" s="13">
        <v>500000</v>
      </c>
      <c r="J30" s="4">
        <v>60</v>
      </c>
      <c r="K30" s="4">
        <v>1</v>
      </c>
      <c r="L30" s="4" t="s">
        <v>27</v>
      </c>
      <c r="M30" s="4" t="s">
        <v>15</v>
      </c>
      <c r="N30" s="4" t="s">
        <v>623</v>
      </c>
      <c r="O30" s="4" t="s">
        <v>625</v>
      </c>
      <c r="P30" s="5">
        <v>0.18</v>
      </c>
      <c r="Q30" s="14">
        <f>PMT($V$15/12,$V$18,-$V$14)</f>
        <v>12696.713713554542</v>
      </c>
      <c r="R30" s="4">
        <v>350000</v>
      </c>
      <c r="S30" s="2" t="s">
        <v>12</v>
      </c>
      <c r="U30" s="3" t="s">
        <v>633</v>
      </c>
      <c r="V30" s="3">
        <v>60</v>
      </c>
      <c r="X30" s="3" t="s">
        <v>633</v>
      </c>
      <c r="Y30" s="3">
        <v>60</v>
      </c>
      <c r="AA30" s="3" t="s">
        <v>633</v>
      </c>
      <c r="AB30" s="3">
        <v>60</v>
      </c>
    </row>
    <row r="31" spans="1:28" x14ac:dyDescent="0.3">
      <c r="A31" s="4">
        <v>30</v>
      </c>
      <c r="B31" s="4" t="s">
        <v>50</v>
      </c>
      <c r="C31" s="4" t="s">
        <v>11</v>
      </c>
      <c r="D31" s="4" t="s">
        <v>17</v>
      </c>
      <c r="E31" s="4" t="s">
        <v>13</v>
      </c>
      <c r="F31" s="4" t="s">
        <v>17</v>
      </c>
      <c r="G31" s="4">
        <v>68000</v>
      </c>
      <c r="H31" s="4">
        <v>45200</v>
      </c>
      <c r="I31" s="13">
        <v>850000</v>
      </c>
      <c r="J31" s="4">
        <v>60</v>
      </c>
      <c r="K31" s="4">
        <v>0</v>
      </c>
      <c r="L31" s="4" t="s">
        <v>14</v>
      </c>
      <c r="M31" s="4" t="s">
        <v>19</v>
      </c>
      <c r="N31" s="4" t="s">
        <v>623</v>
      </c>
      <c r="O31" s="4" t="s">
        <v>625</v>
      </c>
      <c r="P31" s="5">
        <v>0.18</v>
      </c>
      <c r="Q31" s="14">
        <f>PMT($Y$39/12,$Y$42,-$Y$38)</f>
        <v>21584.413313042722</v>
      </c>
      <c r="R31" s="4">
        <v>1000000</v>
      </c>
      <c r="S31" s="2" t="s">
        <v>17</v>
      </c>
    </row>
    <row r="32" spans="1:28" x14ac:dyDescent="0.3">
      <c r="A32" s="4">
        <v>31</v>
      </c>
      <c r="B32" s="4" t="s">
        <v>51</v>
      </c>
      <c r="C32" s="4" t="s">
        <v>11</v>
      </c>
      <c r="D32" s="4" t="s">
        <v>12</v>
      </c>
      <c r="E32" s="4" t="s">
        <v>13</v>
      </c>
      <c r="F32" s="4" t="s">
        <v>12</v>
      </c>
      <c r="G32" s="4">
        <v>54200</v>
      </c>
      <c r="H32" s="4">
        <v>0</v>
      </c>
      <c r="I32" s="13">
        <v>300000</v>
      </c>
      <c r="J32" s="4">
        <v>60</v>
      </c>
      <c r="K32" s="4">
        <v>1</v>
      </c>
      <c r="L32" s="4" t="s">
        <v>14</v>
      </c>
      <c r="M32" s="4" t="s">
        <v>19</v>
      </c>
      <c r="N32" s="4" t="s">
        <v>623</v>
      </c>
      <c r="O32" s="4" t="s">
        <v>625</v>
      </c>
      <c r="P32" s="5">
        <v>0.18</v>
      </c>
      <c r="Q32" s="14">
        <f>PMT($V$21/12,$V$24,-$V$20)</f>
        <v>7618.0282281327254</v>
      </c>
      <c r="R32" s="4">
        <v>500000</v>
      </c>
      <c r="S32" s="2" t="s">
        <v>12</v>
      </c>
      <c r="U32" s="3" t="s">
        <v>629</v>
      </c>
      <c r="V32" s="4">
        <v>800000</v>
      </c>
      <c r="X32" s="3" t="s">
        <v>629</v>
      </c>
      <c r="Y32" s="4">
        <v>365890</v>
      </c>
      <c r="AA32" s="3" t="s">
        <v>629</v>
      </c>
      <c r="AB32" s="4">
        <v>550000</v>
      </c>
    </row>
    <row r="33" spans="1:28" x14ac:dyDescent="0.3">
      <c r="A33" s="4">
        <v>32</v>
      </c>
      <c r="B33" s="4" t="s">
        <v>52</v>
      </c>
      <c r="C33" s="4" t="s">
        <v>11</v>
      </c>
      <c r="D33" s="4" t="s">
        <v>12</v>
      </c>
      <c r="E33" s="4" t="s">
        <v>13</v>
      </c>
      <c r="F33" s="4" t="s">
        <v>17</v>
      </c>
      <c r="G33" s="4">
        <v>85300</v>
      </c>
      <c r="H33" s="4">
        <v>0</v>
      </c>
      <c r="I33" s="13">
        <v>768000</v>
      </c>
      <c r="J33" s="4">
        <v>60</v>
      </c>
      <c r="K33" s="4">
        <v>1</v>
      </c>
      <c r="L33" s="4" t="s">
        <v>18</v>
      </c>
      <c r="M33" s="4" t="s">
        <v>19</v>
      </c>
      <c r="N33" s="4" t="s">
        <v>623</v>
      </c>
      <c r="O33" s="4" t="s">
        <v>625</v>
      </c>
      <c r="P33" s="5">
        <v>0.18</v>
      </c>
      <c r="Q33" s="14">
        <f>PMT($AB$3/12,$AB$6,-$AB$2)</f>
        <v>19502.152264019776</v>
      </c>
      <c r="R33" s="4">
        <v>950000</v>
      </c>
      <c r="S33" s="2" t="s">
        <v>12</v>
      </c>
      <c r="U33" s="3" t="s">
        <v>630</v>
      </c>
      <c r="V33" s="8">
        <v>0.18</v>
      </c>
      <c r="X33" s="3" t="s">
        <v>630</v>
      </c>
      <c r="Y33" s="8">
        <v>0.18</v>
      </c>
      <c r="AA33" s="3" t="s">
        <v>630</v>
      </c>
      <c r="AB33" s="8">
        <v>0.18</v>
      </c>
    </row>
    <row r="34" spans="1:28" x14ac:dyDescent="0.3">
      <c r="A34" s="4">
        <v>33</v>
      </c>
      <c r="B34" s="4" t="s">
        <v>53</v>
      </c>
      <c r="C34" s="4" t="s">
        <v>11</v>
      </c>
      <c r="D34" s="4" t="s">
        <v>17</v>
      </c>
      <c r="E34" s="4" t="s">
        <v>13</v>
      </c>
      <c r="F34" s="4" t="s">
        <v>12</v>
      </c>
      <c r="G34" s="4">
        <v>54400</v>
      </c>
      <c r="H34" s="4">
        <v>45500</v>
      </c>
      <c r="I34" s="13">
        <v>680000</v>
      </c>
      <c r="J34" s="4">
        <v>60</v>
      </c>
      <c r="K34" s="4">
        <v>1</v>
      </c>
      <c r="L34" s="4" t="s">
        <v>27</v>
      </c>
      <c r="M34" s="4" t="s">
        <v>15</v>
      </c>
      <c r="N34" s="4" t="s">
        <v>623</v>
      </c>
      <c r="O34" s="4" t="s">
        <v>625</v>
      </c>
      <c r="P34" s="5">
        <v>0.18</v>
      </c>
      <c r="Q34" s="14">
        <f>PMT($AB$9/12,$AB$12,-$AB$8)</f>
        <v>17267.530650434179</v>
      </c>
      <c r="R34" s="4">
        <v>900000</v>
      </c>
      <c r="S34" s="2" t="s">
        <v>12</v>
      </c>
      <c r="U34" s="3" t="s">
        <v>631</v>
      </c>
      <c r="V34" s="3">
        <v>5</v>
      </c>
      <c r="X34" s="3" t="s">
        <v>631</v>
      </c>
      <c r="Y34" s="3">
        <v>5</v>
      </c>
      <c r="AA34" s="3" t="s">
        <v>631</v>
      </c>
      <c r="AB34" s="3">
        <v>5</v>
      </c>
    </row>
    <row r="35" spans="1:28" x14ac:dyDescent="0.3">
      <c r="A35" s="4">
        <v>34</v>
      </c>
      <c r="B35" s="4" t="s">
        <v>54</v>
      </c>
      <c r="C35" s="4" t="s">
        <v>11</v>
      </c>
      <c r="D35" s="4" t="s">
        <v>12</v>
      </c>
      <c r="E35" s="4" t="s">
        <v>13</v>
      </c>
      <c r="F35" s="4" t="s">
        <v>12</v>
      </c>
      <c r="G35" s="4">
        <v>53000</v>
      </c>
      <c r="H35" s="4">
        <v>0</v>
      </c>
      <c r="I35" s="13">
        <v>620000</v>
      </c>
      <c r="J35" s="4">
        <v>60</v>
      </c>
      <c r="K35" s="4">
        <v>1</v>
      </c>
      <c r="L35" s="4" t="s">
        <v>18</v>
      </c>
      <c r="M35" s="4" t="s">
        <v>19</v>
      </c>
      <c r="N35" s="4" t="s">
        <v>623</v>
      </c>
      <c r="O35" s="4" t="s">
        <v>625</v>
      </c>
      <c r="P35" s="5">
        <v>0.18</v>
      </c>
      <c r="Q35" s="14">
        <f>PMT($AB$15/12,$AB$18,-$AB$14)</f>
        <v>15743.925004807632</v>
      </c>
      <c r="R35" s="4">
        <v>600000</v>
      </c>
      <c r="S35" s="2" t="s">
        <v>12</v>
      </c>
      <c r="U35" s="3" t="s">
        <v>632</v>
      </c>
      <c r="V35" s="3">
        <v>12</v>
      </c>
      <c r="X35" s="3" t="s">
        <v>632</v>
      </c>
      <c r="Y35" s="3">
        <v>12</v>
      </c>
      <c r="AA35" s="3" t="s">
        <v>632</v>
      </c>
      <c r="AB35" s="3">
        <v>12</v>
      </c>
    </row>
    <row r="36" spans="1:28" x14ac:dyDescent="0.3">
      <c r="A36" s="4">
        <v>35</v>
      </c>
      <c r="B36" s="4" t="s">
        <v>55</v>
      </c>
      <c r="C36" s="4" t="s">
        <v>11</v>
      </c>
      <c r="D36" s="4" t="s">
        <v>17</v>
      </c>
      <c r="E36" s="4" t="s">
        <v>13</v>
      </c>
      <c r="F36" s="4" t="s">
        <v>12</v>
      </c>
      <c r="G36" s="4">
        <v>84200</v>
      </c>
      <c r="H36" s="4">
        <v>77000</v>
      </c>
      <c r="I36" s="13">
        <v>952000</v>
      </c>
      <c r="J36" s="4">
        <v>60</v>
      </c>
      <c r="K36" s="4">
        <v>1</v>
      </c>
      <c r="L36" s="4" t="s">
        <v>14</v>
      </c>
      <c r="M36" s="4" t="s">
        <v>15</v>
      </c>
      <c r="N36" s="4" t="s">
        <v>623</v>
      </c>
      <c r="O36" s="4" t="s">
        <v>625</v>
      </c>
      <c r="P36" s="5">
        <v>0.18</v>
      </c>
      <c r="Q36" s="14">
        <f>PMT($AB$21/12,$AB$24,-$AB$20)</f>
        <v>24174.542910607848</v>
      </c>
      <c r="R36" s="4">
        <v>1000000</v>
      </c>
      <c r="S36" s="2" t="s">
        <v>12</v>
      </c>
      <c r="U36" s="3" t="s">
        <v>633</v>
      </c>
      <c r="V36" s="3">
        <v>60</v>
      </c>
      <c r="X36" s="3" t="s">
        <v>633</v>
      </c>
      <c r="Y36" s="3">
        <v>60</v>
      </c>
      <c r="AA36" s="3" t="s">
        <v>633</v>
      </c>
      <c r="AB36" s="3">
        <v>60</v>
      </c>
    </row>
    <row r="37" spans="1:28" x14ac:dyDescent="0.3">
      <c r="A37" s="4">
        <v>36</v>
      </c>
      <c r="B37" s="4" t="s">
        <v>56</v>
      </c>
      <c r="C37" s="4" t="s">
        <v>11</v>
      </c>
      <c r="D37" s="4" t="s">
        <v>17</v>
      </c>
      <c r="E37" s="4" t="s">
        <v>13</v>
      </c>
      <c r="F37" s="4" t="s">
        <v>12</v>
      </c>
      <c r="G37" s="4">
        <v>45000</v>
      </c>
      <c r="H37" s="4">
        <v>44000</v>
      </c>
      <c r="I37" s="13">
        <v>840000</v>
      </c>
      <c r="J37" s="4">
        <v>60</v>
      </c>
      <c r="K37" s="4">
        <v>0</v>
      </c>
      <c r="L37" s="4" t="s">
        <v>14</v>
      </c>
      <c r="M37" s="4" t="s">
        <v>19</v>
      </c>
      <c r="N37" s="4" t="s">
        <v>623</v>
      </c>
      <c r="O37" s="4" t="s">
        <v>625</v>
      </c>
      <c r="P37" s="5">
        <v>0.18</v>
      </c>
      <c r="Q37" s="14">
        <f>PMT($AB$27/12,$AB$30,-$AB$26)</f>
        <v>21330.479038771631</v>
      </c>
      <c r="R37" s="4">
        <v>800000</v>
      </c>
      <c r="S37" s="2" t="s">
        <v>12</v>
      </c>
    </row>
    <row r="38" spans="1:28" x14ac:dyDescent="0.3">
      <c r="A38" s="4">
        <v>37</v>
      </c>
      <c r="B38" s="4" t="s">
        <v>57</v>
      </c>
      <c r="C38" s="4" t="s">
        <v>38</v>
      </c>
      <c r="D38" s="4" t="s">
        <v>17</v>
      </c>
      <c r="E38" s="4" t="s">
        <v>13</v>
      </c>
      <c r="F38" s="4" t="s">
        <v>12</v>
      </c>
      <c r="G38" s="4">
        <v>54000</v>
      </c>
      <c r="H38" s="4">
        <v>0</v>
      </c>
      <c r="I38" s="13">
        <v>550000</v>
      </c>
      <c r="J38" s="4">
        <v>60</v>
      </c>
      <c r="K38" s="4">
        <v>1</v>
      </c>
      <c r="L38" s="4" t="s">
        <v>27</v>
      </c>
      <c r="M38" s="4" t="s">
        <v>15</v>
      </c>
      <c r="N38" s="4" t="s">
        <v>623</v>
      </c>
      <c r="O38" s="4" t="s">
        <v>625</v>
      </c>
      <c r="P38" s="5">
        <v>0.18</v>
      </c>
      <c r="Q38" s="14">
        <f>PMT($AB$33/12,$AB$36,-$AB$32)</f>
        <v>13966.385084909996</v>
      </c>
      <c r="R38" s="4">
        <v>650000</v>
      </c>
      <c r="S38" s="2" t="s">
        <v>17</v>
      </c>
      <c r="U38" s="3" t="s">
        <v>629</v>
      </c>
      <c r="V38" s="4">
        <v>600000</v>
      </c>
      <c r="X38" s="3" t="s">
        <v>629</v>
      </c>
      <c r="Y38" s="4">
        <v>850000</v>
      </c>
      <c r="AA38" s="3" t="s">
        <v>629</v>
      </c>
      <c r="AB38" s="4">
        <v>423601</v>
      </c>
    </row>
    <row r="39" spans="1:28" x14ac:dyDescent="0.3">
      <c r="A39" s="4">
        <v>38</v>
      </c>
      <c r="B39" s="4" t="s">
        <v>58</v>
      </c>
      <c r="C39" s="4" t="s">
        <v>11</v>
      </c>
      <c r="D39" s="4" t="s">
        <v>12</v>
      </c>
      <c r="E39" s="4" t="s">
        <v>13</v>
      </c>
      <c r="F39" s="4" t="s">
        <v>12</v>
      </c>
      <c r="G39" s="4">
        <v>87000</v>
      </c>
      <c r="H39" s="4">
        <v>0</v>
      </c>
      <c r="I39" s="13">
        <v>1000000</v>
      </c>
      <c r="J39" s="4">
        <v>60</v>
      </c>
      <c r="K39" s="4">
        <v>1</v>
      </c>
      <c r="L39" s="4" t="s">
        <v>14</v>
      </c>
      <c r="M39" s="4" t="s">
        <v>15</v>
      </c>
      <c r="N39" s="4" t="s">
        <v>623</v>
      </c>
      <c r="O39" s="4" t="s">
        <v>625</v>
      </c>
      <c r="P39" s="5">
        <v>0.18</v>
      </c>
      <c r="Q39" s="14">
        <f>PMT($V$3/12,$V$6,-$V$2)</f>
        <v>25393.427427109084</v>
      </c>
      <c r="R39" s="4">
        <v>750000</v>
      </c>
      <c r="S39" s="2" t="s">
        <v>12</v>
      </c>
      <c r="U39" s="3" t="s">
        <v>630</v>
      </c>
      <c r="V39" s="8">
        <v>0.18</v>
      </c>
      <c r="X39" s="3" t="s">
        <v>630</v>
      </c>
      <c r="Y39" s="8">
        <v>0.18</v>
      </c>
      <c r="AA39" s="3" t="s">
        <v>630</v>
      </c>
      <c r="AB39" s="8">
        <v>0.18</v>
      </c>
    </row>
    <row r="40" spans="1:28" x14ac:dyDescent="0.3">
      <c r="A40" s="4">
        <v>39</v>
      </c>
      <c r="B40" s="4" t="s">
        <v>59</v>
      </c>
      <c r="C40" s="4" t="s">
        <v>11</v>
      </c>
      <c r="D40" s="4" t="s">
        <v>12</v>
      </c>
      <c r="E40" s="4" t="s">
        <v>22</v>
      </c>
      <c r="F40" s="4" t="s">
        <v>12</v>
      </c>
      <c r="G40" s="4">
        <v>24601</v>
      </c>
      <c r="H40" s="4">
        <v>0</v>
      </c>
      <c r="I40" s="13">
        <v>423601</v>
      </c>
      <c r="J40" s="4">
        <v>60</v>
      </c>
      <c r="K40" s="4">
        <v>1</v>
      </c>
      <c r="L40" s="4" t="s">
        <v>27</v>
      </c>
      <c r="M40" s="4" t="s">
        <v>15</v>
      </c>
      <c r="N40" s="4" t="s">
        <v>623</v>
      </c>
      <c r="O40" s="4" t="s">
        <v>625</v>
      </c>
      <c r="P40" s="5">
        <v>0.18</v>
      </c>
      <c r="Q40" s="14">
        <f>PMT($AB$39/12,$AB$42,-$AB$38)</f>
        <v>10756.681251550835</v>
      </c>
      <c r="R40" s="4">
        <v>200000</v>
      </c>
      <c r="S40" s="2" t="s">
        <v>17</v>
      </c>
      <c r="U40" s="3" t="s">
        <v>631</v>
      </c>
      <c r="V40" s="3">
        <v>5</v>
      </c>
      <c r="X40" s="3" t="s">
        <v>631</v>
      </c>
      <c r="Y40" s="3">
        <v>5</v>
      </c>
      <c r="AA40" s="3" t="s">
        <v>631</v>
      </c>
      <c r="AB40" s="3">
        <v>5</v>
      </c>
    </row>
    <row r="41" spans="1:28" x14ac:dyDescent="0.3">
      <c r="A41" s="4">
        <v>40</v>
      </c>
      <c r="B41" s="4" t="s">
        <v>60</v>
      </c>
      <c r="C41" s="4" t="s">
        <v>11</v>
      </c>
      <c r="D41" s="4" t="s">
        <v>12</v>
      </c>
      <c r="E41" s="4" t="s">
        <v>13</v>
      </c>
      <c r="F41" s="4" t="s">
        <v>12</v>
      </c>
      <c r="G41" s="4">
        <v>75000</v>
      </c>
      <c r="H41" s="4">
        <v>0</v>
      </c>
      <c r="I41" s="13">
        <v>358000</v>
      </c>
      <c r="J41" s="4">
        <v>60</v>
      </c>
      <c r="K41" s="4">
        <v>1</v>
      </c>
      <c r="L41" s="4" t="s">
        <v>14</v>
      </c>
      <c r="M41" s="4" t="s">
        <v>19</v>
      </c>
      <c r="N41" s="4" t="s">
        <v>623</v>
      </c>
      <c r="O41" s="4" t="s">
        <v>625</v>
      </c>
      <c r="P41" s="5">
        <v>0.18</v>
      </c>
      <c r="Q41" s="14">
        <f>PMT($AB$45/12,$AB$48,-$AB$44)</f>
        <v>9090.8470189050531</v>
      </c>
      <c r="R41" s="4">
        <v>600000</v>
      </c>
      <c r="S41" s="2" t="s">
        <v>17</v>
      </c>
      <c r="U41" s="3" t="s">
        <v>632</v>
      </c>
      <c r="V41" s="3">
        <v>12</v>
      </c>
      <c r="X41" s="3" t="s">
        <v>632</v>
      </c>
      <c r="Y41" s="3">
        <v>12</v>
      </c>
      <c r="AA41" s="3" t="s">
        <v>632</v>
      </c>
      <c r="AB41" s="3">
        <v>12</v>
      </c>
    </row>
    <row r="42" spans="1:28" x14ac:dyDescent="0.3">
      <c r="A42" s="4">
        <v>41</v>
      </c>
      <c r="B42" s="4" t="s">
        <v>61</v>
      </c>
      <c r="C42" s="4" t="s">
        <v>11</v>
      </c>
      <c r="D42" s="4" t="s">
        <v>12</v>
      </c>
      <c r="E42" s="4" t="s">
        <v>13</v>
      </c>
      <c r="F42" s="4" t="s">
        <v>12</v>
      </c>
      <c r="G42" s="4">
        <v>69700</v>
      </c>
      <c r="H42" s="4">
        <v>0</v>
      </c>
      <c r="I42" s="13">
        <v>587000</v>
      </c>
      <c r="J42" s="4">
        <v>60</v>
      </c>
      <c r="K42" s="4">
        <v>1</v>
      </c>
      <c r="L42" s="4" t="s">
        <v>14</v>
      </c>
      <c r="M42" s="4" t="s">
        <v>15</v>
      </c>
      <c r="N42" s="4" t="s">
        <v>623</v>
      </c>
      <c r="O42" s="4" t="s">
        <v>625</v>
      </c>
      <c r="P42" s="5">
        <v>0.18</v>
      </c>
      <c r="Q42" s="14">
        <f>PMT($AB$51/12,$AB$54,-$AB$50)</f>
        <v>14905.941899713032</v>
      </c>
      <c r="R42" s="4">
        <v>650000</v>
      </c>
      <c r="S42" s="2" t="s">
        <v>12</v>
      </c>
      <c r="U42" s="3" t="s">
        <v>633</v>
      </c>
      <c r="V42" s="3">
        <v>60</v>
      </c>
      <c r="X42" s="3" t="s">
        <v>633</v>
      </c>
      <c r="Y42" s="3">
        <v>60</v>
      </c>
      <c r="AA42" s="3" t="s">
        <v>633</v>
      </c>
      <c r="AB42" s="3">
        <v>60</v>
      </c>
    </row>
    <row r="43" spans="1:28" x14ac:dyDescent="0.3">
      <c r="A43" s="4">
        <v>42</v>
      </c>
      <c r="B43" s="4" t="s">
        <v>62</v>
      </c>
      <c r="C43" s="4" t="s">
        <v>11</v>
      </c>
      <c r="D43" s="4" t="s">
        <v>17</v>
      </c>
      <c r="E43" s="4" t="s">
        <v>13</v>
      </c>
      <c r="F43" s="4" t="s">
        <v>12</v>
      </c>
      <c r="G43" s="4">
        <v>52400</v>
      </c>
      <c r="H43" s="4">
        <v>48733</v>
      </c>
      <c r="I43" s="13">
        <v>789000</v>
      </c>
      <c r="J43" s="4">
        <v>60</v>
      </c>
      <c r="K43" s="4">
        <v>0</v>
      </c>
      <c r="L43" s="4" t="s">
        <v>14</v>
      </c>
      <c r="M43" s="4" t="s">
        <v>15</v>
      </c>
      <c r="N43" s="4" t="s">
        <v>623</v>
      </c>
      <c r="O43" s="4" t="s">
        <v>625</v>
      </c>
      <c r="P43" s="5">
        <v>0.18</v>
      </c>
      <c r="Q43" s="14">
        <f>PMT($V$45/12,$V$48,-$V$44)</f>
        <v>20035.414239989066</v>
      </c>
      <c r="R43" s="4">
        <v>1000000</v>
      </c>
      <c r="S43" s="2" t="s">
        <v>12</v>
      </c>
    </row>
    <row r="44" spans="1:28" x14ac:dyDescent="0.3">
      <c r="A44" s="4">
        <v>43</v>
      </c>
      <c r="B44" s="4" t="s">
        <v>63</v>
      </c>
      <c r="C44" s="4" t="s">
        <v>11</v>
      </c>
      <c r="D44" s="4" t="s">
        <v>17</v>
      </c>
      <c r="E44" s="4" t="s">
        <v>13</v>
      </c>
      <c r="F44" s="4" t="s">
        <v>12</v>
      </c>
      <c r="G44" s="4">
        <v>47860</v>
      </c>
      <c r="H44" s="4">
        <v>24970</v>
      </c>
      <c r="I44" s="13">
        <v>975000</v>
      </c>
      <c r="J44" s="4">
        <v>60</v>
      </c>
      <c r="K44" s="4">
        <v>1</v>
      </c>
      <c r="L44" s="4" t="s">
        <v>27</v>
      </c>
      <c r="M44" s="4" t="s">
        <v>15</v>
      </c>
      <c r="N44" s="4" t="s">
        <v>623</v>
      </c>
      <c r="O44" s="4" t="s">
        <v>625</v>
      </c>
      <c r="P44" s="5">
        <v>0.18</v>
      </c>
      <c r="Q44" s="14">
        <f>PMT($Y$45/12,$Y$48,-$Y$44)</f>
        <v>24758.591741431355</v>
      </c>
      <c r="R44" s="4">
        <v>648000</v>
      </c>
      <c r="S44" s="2" t="s">
        <v>12</v>
      </c>
      <c r="U44" s="3" t="s">
        <v>629</v>
      </c>
      <c r="V44" s="4">
        <v>789000</v>
      </c>
      <c r="X44" s="3" t="s">
        <v>629</v>
      </c>
      <c r="Y44" s="4">
        <v>975000</v>
      </c>
      <c r="AA44" s="3" t="s">
        <v>629</v>
      </c>
      <c r="AB44" s="4">
        <v>358000</v>
      </c>
    </row>
    <row r="45" spans="1:28" x14ac:dyDescent="0.3">
      <c r="A45" s="4">
        <v>44</v>
      </c>
      <c r="B45" s="4" t="s">
        <v>64</v>
      </c>
      <c r="C45" s="4" t="s">
        <v>11</v>
      </c>
      <c r="D45" s="4" t="s">
        <v>17</v>
      </c>
      <c r="E45" s="4" t="s">
        <v>22</v>
      </c>
      <c r="F45" s="4" t="s">
        <v>17</v>
      </c>
      <c r="G45" s="4">
        <v>56980</v>
      </c>
      <c r="H45" s="4">
        <v>25600</v>
      </c>
      <c r="I45" s="13">
        <v>849300</v>
      </c>
      <c r="J45" s="4">
        <v>60</v>
      </c>
      <c r="K45" s="4">
        <v>1</v>
      </c>
      <c r="L45" s="4" t="s">
        <v>14</v>
      </c>
      <c r="M45" s="4" t="s">
        <v>15</v>
      </c>
      <c r="N45" s="4" t="s">
        <v>623</v>
      </c>
      <c r="O45" s="4" t="s">
        <v>625</v>
      </c>
      <c r="P45" s="5">
        <v>0.18</v>
      </c>
      <c r="Q45" s="14">
        <f>PMT($V$51/12,$V$54,-$V$50)</f>
        <v>21566.637913843744</v>
      </c>
      <c r="R45" s="4">
        <v>600000</v>
      </c>
      <c r="S45" s="2" t="s">
        <v>12</v>
      </c>
      <c r="U45" s="3" t="s">
        <v>630</v>
      </c>
      <c r="V45" s="8">
        <v>0.18</v>
      </c>
      <c r="X45" s="3" t="s">
        <v>630</v>
      </c>
      <c r="Y45" s="8">
        <v>0.18</v>
      </c>
      <c r="AA45" s="3" t="s">
        <v>630</v>
      </c>
      <c r="AB45" s="8">
        <v>0.18</v>
      </c>
    </row>
    <row r="46" spans="1:28" x14ac:dyDescent="0.3">
      <c r="A46" s="4">
        <v>45</v>
      </c>
      <c r="B46" s="4" t="s">
        <v>65</v>
      </c>
      <c r="C46" s="4" t="s">
        <v>38</v>
      </c>
      <c r="D46" s="4" t="s">
        <v>12</v>
      </c>
      <c r="E46" s="4" t="s">
        <v>13</v>
      </c>
      <c r="F46" s="4" t="s">
        <v>12</v>
      </c>
      <c r="G46" s="4">
        <v>49800</v>
      </c>
      <c r="H46" s="4">
        <v>0</v>
      </c>
      <c r="I46" s="13">
        <v>487500</v>
      </c>
      <c r="J46" s="4">
        <v>60</v>
      </c>
      <c r="K46" s="4">
        <v>1</v>
      </c>
      <c r="L46" s="4" t="s">
        <v>14</v>
      </c>
      <c r="M46" s="4" t="s">
        <v>15</v>
      </c>
      <c r="N46" s="4" t="s">
        <v>623</v>
      </c>
      <c r="O46" s="4" t="s">
        <v>625</v>
      </c>
      <c r="P46" s="5">
        <v>0.18</v>
      </c>
      <c r="Q46" s="14">
        <f>PMT($Y$51/12,$Y$54,-$Y$50)</f>
        <v>12379.295870715678</v>
      </c>
      <c r="R46" s="4">
        <v>400000</v>
      </c>
      <c r="S46" s="2" t="s">
        <v>12</v>
      </c>
      <c r="U46" s="3" t="s">
        <v>631</v>
      </c>
      <c r="V46" s="3">
        <v>5</v>
      </c>
      <c r="X46" s="3" t="s">
        <v>631</v>
      </c>
      <c r="Y46" s="3">
        <v>5</v>
      </c>
      <c r="AA46" s="3" t="s">
        <v>631</v>
      </c>
      <c r="AB46" s="3">
        <v>5</v>
      </c>
    </row>
    <row r="47" spans="1:28" x14ac:dyDescent="0.3">
      <c r="A47" s="4">
        <v>46</v>
      </c>
      <c r="B47" s="4" t="s">
        <v>66</v>
      </c>
      <c r="C47" s="4" t="s">
        <v>11</v>
      </c>
      <c r="D47" s="4" t="s">
        <v>17</v>
      </c>
      <c r="E47" s="4" t="s">
        <v>13</v>
      </c>
      <c r="F47" s="4" t="s">
        <v>12</v>
      </c>
      <c r="G47" s="4">
        <v>58799</v>
      </c>
      <c r="H47" s="4">
        <v>26870</v>
      </c>
      <c r="I47" s="13">
        <v>875644</v>
      </c>
      <c r="J47" s="4">
        <v>60</v>
      </c>
      <c r="K47" s="4">
        <v>1</v>
      </c>
      <c r="L47" s="4" t="s">
        <v>14</v>
      </c>
      <c r="M47" s="4" t="s">
        <v>15</v>
      </c>
      <c r="N47" s="4" t="s">
        <v>623</v>
      </c>
      <c r="O47" s="4" t="s">
        <v>625</v>
      </c>
      <c r="P47" s="5">
        <v>0.18</v>
      </c>
      <c r="Q47" s="14">
        <f>PMT($V$57/12,$V$60,-$V$56)</f>
        <v>22235.602365983505</v>
      </c>
      <c r="R47" s="4">
        <v>700000</v>
      </c>
      <c r="S47" s="2" t="s">
        <v>12</v>
      </c>
      <c r="U47" s="3" t="s">
        <v>632</v>
      </c>
      <c r="V47" s="3">
        <v>12</v>
      </c>
      <c r="X47" s="3" t="s">
        <v>632</v>
      </c>
      <c r="Y47" s="3">
        <v>12</v>
      </c>
      <c r="AA47" s="3" t="s">
        <v>632</v>
      </c>
      <c r="AB47" s="3">
        <v>12</v>
      </c>
    </row>
    <row r="48" spans="1:28" x14ac:dyDescent="0.3">
      <c r="A48" s="4">
        <v>47</v>
      </c>
      <c r="B48" s="4" t="s">
        <v>67</v>
      </c>
      <c r="C48" s="4" t="s">
        <v>11</v>
      </c>
      <c r="D48" s="4" t="s">
        <v>17</v>
      </c>
      <c r="E48" s="4" t="s">
        <v>13</v>
      </c>
      <c r="F48" s="4" t="s">
        <v>12</v>
      </c>
      <c r="G48" s="4">
        <v>48799</v>
      </c>
      <c r="H48" s="4">
        <v>34690</v>
      </c>
      <c r="I48" s="13">
        <v>654420</v>
      </c>
      <c r="J48" s="4">
        <v>60</v>
      </c>
      <c r="K48" s="4">
        <v>1</v>
      </c>
      <c r="L48" s="4" t="s">
        <v>14</v>
      </c>
      <c r="M48" s="4" t="s">
        <v>15</v>
      </c>
      <c r="N48" s="4" t="s">
        <v>623</v>
      </c>
      <c r="O48" s="4" t="s">
        <v>625</v>
      </c>
      <c r="P48" s="5">
        <v>0.18</v>
      </c>
      <c r="Q48" s="14">
        <f>PMT($Y$57/12,$Y$60,-$Y$56)</f>
        <v>16617.966776848727</v>
      </c>
      <c r="R48" s="4">
        <v>600000</v>
      </c>
      <c r="S48" s="2" t="s">
        <v>12</v>
      </c>
      <c r="U48" s="3" t="s">
        <v>633</v>
      </c>
      <c r="V48" s="3">
        <v>60</v>
      </c>
      <c r="X48" s="3" t="s">
        <v>633</v>
      </c>
      <c r="Y48" s="3">
        <v>60</v>
      </c>
      <c r="AA48" s="3" t="s">
        <v>633</v>
      </c>
      <c r="AB48" s="3">
        <v>60</v>
      </c>
    </row>
    <row r="49" spans="1:28" x14ac:dyDescent="0.3">
      <c r="A49" s="4">
        <v>48</v>
      </c>
      <c r="B49" s="4" t="s">
        <v>68</v>
      </c>
      <c r="C49" s="4" t="s">
        <v>38</v>
      </c>
      <c r="D49" s="4" t="s">
        <v>17</v>
      </c>
      <c r="E49" s="4" t="s">
        <v>13</v>
      </c>
      <c r="F49" s="4" t="s">
        <v>12</v>
      </c>
      <c r="G49" s="4">
        <v>35000</v>
      </c>
      <c r="H49" s="4">
        <v>48700</v>
      </c>
      <c r="I49" s="13">
        <v>800000</v>
      </c>
      <c r="J49" s="4">
        <v>60</v>
      </c>
      <c r="K49" s="4">
        <v>0</v>
      </c>
      <c r="L49" s="4" t="s">
        <v>14</v>
      </c>
      <c r="M49" s="4" t="s">
        <v>19</v>
      </c>
      <c r="N49" s="4" t="s">
        <v>623</v>
      </c>
      <c r="O49" s="4" t="s">
        <v>625</v>
      </c>
      <c r="P49" s="5">
        <v>0.18</v>
      </c>
      <c r="Q49" s="14">
        <f>PMT($V$33/12,$V$36,-$V$32)</f>
        <v>20314.741941687265</v>
      </c>
      <c r="R49" s="4">
        <v>700000</v>
      </c>
      <c r="S49" s="2" t="s">
        <v>17</v>
      </c>
    </row>
    <row r="50" spans="1:28" x14ac:dyDescent="0.3">
      <c r="A50" s="4">
        <v>49</v>
      </c>
      <c r="B50" s="4" t="s">
        <v>69</v>
      </c>
      <c r="C50" s="4" t="s">
        <v>38</v>
      </c>
      <c r="D50" s="4" t="s">
        <v>12</v>
      </c>
      <c r="E50" s="4" t="s">
        <v>13</v>
      </c>
      <c r="F50" s="4" t="s">
        <v>12</v>
      </c>
      <c r="G50" s="4">
        <v>35000</v>
      </c>
      <c r="H50" s="4">
        <v>0</v>
      </c>
      <c r="I50" s="13">
        <v>620000</v>
      </c>
      <c r="J50" s="4">
        <v>60</v>
      </c>
      <c r="K50" s="4">
        <v>1</v>
      </c>
      <c r="L50" s="4" t="s">
        <v>27</v>
      </c>
      <c r="M50" s="4" t="s">
        <v>15</v>
      </c>
      <c r="N50" s="4" t="s">
        <v>623</v>
      </c>
      <c r="O50" s="4" t="s">
        <v>625</v>
      </c>
      <c r="P50" s="5">
        <v>0.18</v>
      </c>
      <c r="Q50" s="14">
        <f>PMT($AB$15/12,$AB$18,-$AB$14)</f>
        <v>15743.925004807632</v>
      </c>
      <c r="R50" s="4">
        <v>300000</v>
      </c>
      <c r="S50" s="2" t="s">
        <v>12</v>
      </c>
      <c r="U50" s="3" t="s">
        <v>629</v>
      </c>
      <c r="V50" s="4">
        <v>849300</v>
      </c>
      <c r="X50" s="3" t="s">
        <v>629</v>
      </c>
      <c r="Y50" s="4">
        <v>487500</v>
      </c>
      <c r="AA50" s="3" t="s">
        <v>629</v>
      </c>
      <c r="AB50" s="4">
        <v>587000</v>
      </c>
    </row>
    <row r="51" spans="1:28" x14ac:dyDescent="0.3">
      <c r="A51" s="4">
        <v>50</v>
      </c>
      <c r="B51" s="4" t="s">
        <v>70</v>
      </c>
      <c r="C51" s="4" t="s">
        <v>38</v>
      </c>
      <c r="D51" s="4" t="s">
        <v>17</v>
      </c>
      <c r="E51" s="4" t="s">
        <v>22</v>
      </c>
      <c r="F51" s="4" t="s">
        <v>12</v>
      </c>
      <c r="G51" s="4">
        <v>21654</v>
      </c>
      <c r="H51" s="4">
        <v>14620</v>
      </c>
      <c r="I51" s="13">
        <v>489300</v>
      </c>
      <c r="J51" s="4">
        <v>60</v>
      </c>
      <c r="K51" s="4">
        <v>1</v>
      </c>
      <c r="L51" s="4" t="s">
        <v>27</v>
      </c>
      <c r="M51" s="4" t="s">
        <v>15</v>
      </c>
      <c r="N51" s="4" t="s">
        <v>623</v>
      </c>
      <c r="O51" s="4" t="s">
        <v>625</v>
      </c>
      <c r="P51" s="5">
        <v>0.18</v>
      </c>
      <c r="Q51" s="14">
        <f>PMT($AB$57/12,$AB$60,-$AB$56)</f>
        <v>12425.004040084474</v>
      </c>
      <c r="R51" s="4">
        <v>200000</v>
      </c>
      <c r="S51" s="2" t="s">
        <v>12</v>
      </c>
      <c r="U51" s="3" t="s">
        <v>630</v>
      </c>
      <c r="V51" s="8">
        <v>0.18</v>
      </c>
      <c r="X51" s="3" t="s">
        <v>630</v>
      </c>
      <c r="Y51" s="8">
        <v>0.18</v>
      </c>
      <c r="AA51" s="3" t="s">
        <v>630</v>
      </c>
      <c r="AB51" s="8">
        <v>0.18</v>
      </c>
    </row>
    <row r="52" spans="1:28" x14ac:dyDescent="0.3">
      <c r="A52" s="4">
        <v>51</v>
      </c>
      <c r="B52" s="4" t="s">
        <v>71</v>
      </c>
      <c r="C52" s="4" t="s">
        <v>38</v>
      </c>
      <c r="D52" s="4" t="s">
        <v>12</v>
      </c>
      <c r="E52" s="4" t="s">
        <v>13</v>
      </c>
      <c r="F52" s="4" t="s">
        <v>12</v>
      </c>
      <c r="G52" s="4">
        <v>25000</v>
      </c>
      <c r="H52" s="4">
        <v>0</v>
      </c>
      <c r="I52" s="13">
        <v>500000</v>
      </c>
      <c r="J52" s="4">
        <v>60</v>
      </c>
      <c r="K52" s="4">
        <v>1</v>
      </c>
      <c r="L52" s="4" t="s">
        <v>27</v>
      </c>
      <c r="M52" s="4" t="s">
        <v>15</v>
      </c>
      <c r="N52" s="4" t="s">
        <v>623</v>
      </c>
      <c r="O52" s="4" t="s">
        <v>625</v>
      </c>
      <c r="P52" s="5">
        <v>0.18</v>
      </c>
      <c r="Q52" s="14">
        <f>PMT($V$15/12,$V$18,-$V$14)</f>
        <v>12696.713713554542</v>
      </c>
      <c r="R52" s="4">
        <v>200000</v>
      </c>
      <c r="S52" s="2" t="s">
        <v>12</v>
      </c>
      <c r="U52" s="3" t="s">
        <v>631</v>
      </c>
      <c r="V52" s="3">
        <v>5</v>
      </c>
      <c r="X52" s="3" t="s">
        <v>631</v>
      </c>
      <c r="Y52" s="3">
        <v>5</v>
      </c>
      <c r="AA52" s="3" t="s">
        <v>631</v>
      </c>
      <c r="AB52" s="3">
        <v>5</v>
      </c>
    </row>
    <row r="53" spans="1:28" x14ac:dyDescent="0.3">
      <c r="A53" s="4">
        <v>52</v>
      </c>
      <c r="B53" s="4" t="s">
        <v>72</v>
      </c>
      <c r="C53" s="4" t="s">
        <v>38</v>
      </c>
      <c r="D53" s="4" t="s">
        <v>12</v>
      </c>
      <c r="E53" s="4" t="s">
        <v>13</v>
      </c>
      <c r="F53" s="4" t="s">
        <v>12</v>
      </c>
      <c r="G53" s="4">
        <v>35700</v>
      </c>
      <c r="H53" s="4">
        <v>0</v>
      </c>
      <c r="I53" s="13">
        <v>478000</v>
      </c>
      <c r="J53" s="4">
        <v>60</v>
      </c>
      <c r="K53" s="4">
        <v>1</v>
      </c>
      <c r="L53" s="4" t="s">
        <v>27</v>
      </c>
      <c r="M53" s="4" t="s">
        <v>19</v>
      </c>
      <c r="N53" s="4" t="s">
        <v>623</v>
      </c>
      <c r="O53" s="4" t="s">
        <v>625</v>
      </c>
      <c r="P53" s="5">
        <v>0.18</v>
      </c>
      <c r="Q53" s="14">
        <f>PMT($V$63/12,$V$66,-$V$62)</f>
        <v>12138.058310158141</v>
      </c>
      <c r="R53" s="4">
        <v>250000</v>
      </c>
      <c r="S53" s="2" t="s">
        <v>17</v>
      </c>
      <c r="U53" s="3" t="s">
        <v>632</v>
      </c>
      <c r="V53" s="3">
        <v>12</v>
      </c>
      <c r="X53" s="3" t="s">
        <v>632</v>
      </c>
      <c r="Y53" s="3">
        <v>12</v>
      </c>
      <c r="AA53" s="3" t="s">
        <v>632</v>
      </c>
      <c r="AB53" s="3">
        <v>12</v>
      </c>
    </row>
    <row r="54" spans="1:28" x14ac:dyDescent="0.3">
      <c r="A54" s="4">
        <v>53</v>
      </c>
      <c r="B54" s="4" t="s">
        <v>73</v>
      </c>
      <c r="C54" s="4" t="s">
        <v>11</v>
      </c>
      <c r="D54" s="4" t="s">
        <v>17</v>
      </c>
      <c r="E54" s="4" t="s">
        <v>13</v>
      </c>
      <c r="F54" s="4" t="s">
        <v>12</v>
      </c>
      <c r="G54" s="4">
        <v>48550</v>
      </c>
      <c r="H54" s="4">
        <v>54800</v>
      </c>
      <c r="I54" s="13">
        <v>748890</v>
      </c>
      <c r="J54" s="4">
        <v>60</v>
      </c>
      <c r="K54" s="4">
        <v>1</v>
      </c>
      <c r="L54" s="4" t="s">
        <v>14</v>
      </c>
      <c r="M54" s="4" t="s">
        <v>19</v>
      </c>
      <c r="N54" s="4" t="s">
        <v>623</v>
      </c>
      <c r="O54" s="4" t="s">
        <v>625</v>
      </c>
      <c r="P54" s="5">
        <v>0.18</v>
      </c>
      <c r="Q54" s="14">
        <f>PMT($Y$63/12,$Y$66,-$Y$62)</f>
        <v>19016.883865887721</v>
      </c>
      <c r="R54" s="4">
        <v>950000</v>
      </c>
      <c r="S54" s="2" t="s">
        <v>12</v>
      </c>
      <c r="U54" s="3" t="s">
        <v>633</v>
      </c>
      <c r="V54" s="3">
        <v>60</v>
      </c>
      <c r="X54" s="3" t="s">
        <v>633</v>
      </c>
      <c r="Y54" s="3">
        <v>60</v>
      </c>
      <c r="AA54" s="3" t="s">
        <v>633</v>
      </c>
      <c r="AB54" s="3">
        <v>60</v>
      </c>
    </row>
    <row r="55" spans="1:28" x14ac:dyDescent="0.3">
      <c r="A55" s="4">
        <v>54</v>
      </c>
      <c r="B55" s="4" t="s">
        <v>74</v>
      </c>
      <c r="C55" s="4" t="s">
        <v>38</v>
      </c>
      <c r="D55" s="4" t="s">
        <v>17</v>
      </c>
      <c r="E55" s="4" t="s">
        <v>13</v>
      </c>
      <c r="F55" s="4" t="s">
        <v>17</v>
      </c>
      <c r="G55" s="4">
        <v>150000</v>
      </c>
      <c r="H55" s="4">
        <v>0</v>
      </c>
      <c r="I55" s="13">
        <v>1500000</v>
      </c>
      <c r="J55" s="4">
        <v>60</v>
      </c>
      <c r="K55" s="4">
        <v>0</v>
      </c>
      <c r="L55" s="4" t="s">
        <v>14</v>
      </c>
      <c r="M55" s="4" t="s">
        <v>19</v>
      </c>
      <c r="N55" s="4" t="s">
        <v>623</v>
      </c>
      <c r="O55" s="4" t="s">
        <v>625</v>
      </c>
      <c r="P55" s="5">
        <v>0.18</v>
      </c>
      <c r="Q55" s="14">
        <f>PMT($V$9/12,$V$12,-$V$8)</f>
        <v>38090.141140663625</v>
      </c>
      <c r="R55" s="4">
        <v>1000000</v>
      </c>
      <c r="S55" s="2" t="s">
        <v>17</v>
      </c>
    </row>
    <row r="56" spans="1:28" x14ac:dyDescent="0.3">
      <c r="A56" s="4">
        <v>55</v>
      </c>
      <c r="B56" s="4" t="s">
        <v>75</v>
      </c>
      <c r="C56" s="4" t="s">
        <v>11</v>
      </c>
      <c r="D56" s="4" t="s">
        <v>17</v>
      </c>
      <c r="E56" s="4" t="s">
        <v>13</v>
      </c>
      <c r="F56" s="4" t="s">
        <v>12</v>
      </c>
      <c r="G56" s="4">
        <v>65300</v>
      </c>
      <c r="H56" s="4">
        <v>45900</v>
      </c>
      <c r="I56" s="13">
        <v>987200</v>
      </c>
      <c r="J56" s="4">
        <v>60</v>
      </c>
      <c r="K56" s="4">
        <v>1</v>
      </c>
      <c r="L56" s="4" t="s">
        <v>27</v>
      </c>
      <c r="M56" s="4" t="s">
        <v>15</v>
      </c>
      <c r="N56" s="4" t="s">
        <v>623</v>
      </c>
      <c r="O56" s="4" t="s">
        <v>625</v>
      </c>
      <c r="P56" s="5">
        <v>0.18</v>
      </c>
      <c r="Q56" s="14">
        <f>PMT($AB$63/12,$AB$66,-$AB$62)</f>
        <v>25068.39155604209</v>
      </c>
      <c r="R56" s="4">
        <v>1000000</v>
      </c>
      <c r="S56" s="2" t="s">
        <v>12</v>
      </c>
      <c r="U56" s="3" t="s">
        <v>629</v>
      </c>
      <c r="V56" s="4">
        <v>875644</v>
      </c>
      <c r="X56" s="3" t="s">
        <v>629</v>
      </c>
      <c r="Y56" s="4">
        <v>654420</v>
      </c>
      <c r="AA56" s="3" t="s">
        <v>629</v>
      </c>
      <c r="AB56" s="4">
        <v>489300</v>
      </c>
    </row>
    <row r="57" spans="1:28" x14ac:dyDescent="0.3">
      <c r="A57" s="4">
        <v>56</v>
      </c>
      <c r="B57" s="4" t="s">
        <v>76</v>
      </c>
      <c r="C57" s="4" t="s">
        <v>11</v>
      </c>
      <c r="D57" s="4" t="s">
        <v>17</v>
      </c>
      <c r="E57" s="4" t="s">
        <v>13</v>
      </c>
      <c r="F57" s="4" t="s">
        <v>12</v>
      </c>
      <c r="G57" s="4">
        <v>52310</v>
      </c>
      <c r="H57" s="4">
        <v>25301</v>
      </c>
      <c r="I57" s="13">
        <v>587200</v>
      </c>
      <c r="J57" s="4">
        <v>60</v>
      </c>
      <c r="K57" s="4">
        <v>1</v>
      </c>
      <c r="L57" s="4" t="s">
        <v>27</v>
      </c>
      <c r="M57" s="4" t="s">
        <v>15</v>
      </c>
      <c r="N57" s="4" t="s">
        <v>623</v>
      </c>
      <c r="O57" s="4" t="s">
        <v>625</v>
      </c>
      <c r="P57" s="5">
        <v>0.18</v>
      </c>
      <c r="Q57" s="14">
        <f>PMT($V$69/12,$V$72,-$V$68)</f>
        <v>14911.020585198456</v>
      </c>
      <c r="R57" s="4">
        <v>700000</v>
      </c>
      <c r="S57" s="2" t="s">
        <v>17</v>
      </c>
      <c r="U57" s="3" t="s">
        <v>630</v>
      </c>
      <c r="V57" s="8">
        <v>0.18</v>
      </c>
      <c r="X57" s="3" t="s">
        <v>630</v>
      </c>
      <c r="Y57" s="8">
        <v>0.18</v>
      </c>
      <c r="AA57" s="3" t="s">
        <v>630</v>
      </c>
      <c r="AB57" s="8">
        <v>0.18</v>
      </c>
    </row>
    <row r="58" spans="1:28" x14ac:dyDescent="0.3">
      <c r="A58" s="4">
        <v>57</v>
      </c>
      <c r="B58" s="4" t="s">
        <v>77</v>
      </c>
      <c r="C58" s="4" t="s">
        <v>11</v>
      </c>
      <c r="D58" s="4" t="s">
        <v>17</v>
      </c>
      <c r="E58" s="4" t="s">
        <v>13</v>
      </c>
      <c r="F58" s="4" t="s">
        <v>12</v>
      </c>
      <c r="G58" s="4">
        <v>46920</v>
      </c>
      <c r="H58" s="4">
        <v>68420</v>
      </c>
      <c r="I58" s="13">
        <v>762019</v>
      </c>
      <c r="J58" s="4">
        <v>60</v>
      </c>
      <c r="K58" s="4">
        <v>1</v>
      </c>
      <c r="L58" s="4" t="s">
        <v>18</v>
      </c>
      <c r="M58" s="4" t="s">
        <v>19</v>
      </c>
      <c r="N58" s="4" t="s">
        <v>623</v>
      </c>
      <c r="O58" s="4" t="s">
        <v>625</v>
      </c>
      <c r="P58" s="5">
        <v>0.18</v>
      </c>
      <c r="Q58" s="14">
        <f>PMT($Y$69/12,$Y$72,-$Y$68)</f>
        <v>19350.27417457824</v>
      </c>
      <c r="R58" s="4">
        <v>1000000</v>
      </c>
      <c r="S58" s="2" t="s">
        <v>12</v>
      </c>
      <c r="U58" s="3" t="s">
        <v>631</v>
      </c>
      <c r="V58" s="3">
        <v>5</v>
      </c>
      <c r="X58" s="3" t="s">
        <v>631</v>
      </c>
      <c r="Y58" s="3">
        <v>5</v>
      </c>
      <c r="AA58" s="3" t="s">
        <v>631</v>
      </c>
      <c r="AB58" s="3">
        <v>5</v>
      </c>
    </row>
    <row r="59" spans="1:28" x14ac:dyDescent="0.3">
      <c r="A59" s="4">
        <v>58</v>
      </c>
      <c r="B59" s="4" t="s">
        <v>78</v>
      </c>
      <c r="C59" s="4" t="s">
        <v>11</v>
      </c>
      <c r="D59" s="4" t="s">
        <v>17</v>
      </c>
      <c r="E59" s="4" t="s">
        <v>13</v>
      </c>
      <c r="F59" s="4" t="s">
        <v>12</v>
      </c>
      <c r="G59" s="4">
        <v>68213</v>
      </c>
      <c r="H59" s="4">
        <v>47982</v>
      </c>
      <c r="I59" s="13">
        <v>962314</v>
      </c>
      <c r="J59" s="4">
        <v>60</v>
      </c>
      <c r="K59" s="4">
        <v>1</v>
      </c>
      <c r="L59" s="4" t="s">
        <v>14</v>
      </c>
      <c r="M59" s="4" t="s">
        <v>15</v>
      </c>
      <c r="N59" s="4" t="s">
        <v>623</v>
      </c>
      <c r="O59" s="4" t="s">
        <v>625</v>
      </c>
      <c r="P59" s="5">
        <v>0.18</v>
      </c>
      <c r="Q59" s="14">
        <f>PMT($AB$69/12,$AB$72,-$AB$68)</f>
        <v>24436.450721091052</v>
      </c>
      <c r="R59" s="4">
        <v>1000000</v>
      </c>
      <c r="S59" s="2" t="s">
        <v>12</v>
      </c>
      <c r="U59" s="3" t="s">
        <v>632</v>
      </c>
      <c r="V59" s="3">
        <v>12</v>
      </c>
      <c r="X59" s="3" t="s">
        <v>632</v>
      </c>
      <c r="Y59" s="3">
        <v>12</v>
      </c>
      <c r="AA59" s="3" t="s">
        <v>632</v>
      </c>
      <c r="AB59" s="3">
        <v>12</v>
      </c>
    </row>
    <row r="60" spans="1:28" x14ac:dyDescent="0.3">
      <c r="A60" s="4">
        <v>59</v>
      </c>
      <c r="B60" s="4" t="s">
        <v>79</v>
      </c>
      <c r="C60" s="4" t="s">
        <v>11</v>
      </c>
      <c r="D60" s="4" t="s">
        <v>17</v>
      </c>
      <c r="E60" s="4" t="s">
        <v>22</v>
      </c>
      <c r="F60" s="4" t="s">
        <v>12</v>
      </c>
      <c r="G60" s="4">
        <v>23651</v>
      </c>
      <c r="H60" s="4">
        <v>15632</v>
      </c>
      <c r="I60" s="13">
        <v>469820</v>
      </c>
      <c r="J60" s="4">
        <v>60</v>
      </c>
      <c r="K60" s="4">
        <v>1</v>
      </c>
      <c r="L60" s="4" t="s">
        <v>14</v>
      </c>
      <c r="M60" s="4" t="s">
        <v>15</v>
      </c>
      <c r="N60" s="4" t="s">
        <v>623</v>
      </c>
      <c r="O60" s="4" t="s">
        <v>625</v>
      </c>
      <c r="P60" s="5">
        <v>0.18</v>
      </c>
      <c r="Q60" s="14">
        <f>PMT($V$75/12,$V$78,-$V$74)</f>
        <v>11930.340073804389</v>
      </c>
      <c r="R60" s="4">
        <v>300000</v>
      </c>
      <c r="S60" s="2" t="s">
        <v>12</v>
      </c>
      <c r="U60" s="3" t="s">
        <v>633</v>
      </c>
      <c r="V60" s="3">
        <v>60</v>
      </c>
      <c r="X60" s="3" t="s">
        <v>633</v>
      </c>
      <c r="Y60" s="3">
        <v>60</v>
      </c>
      <c r="AA60" s="3" t="s">
        <v>633</v>
      </c>
      <c r="AB60" s="3">
        <v>60</v>
      </c>
    </row>
    <row r="61" spans="1:28" x14ac:dyDescent="0.3">
      <c r="A61" s="4">
        <v>60</v>
      </c>
      <c r="B61" s="4" t="s">
        <v>80</v>
      </c>
      <c r="C61" s="4" t="s">
        <v>11</v>
      </c>
      <c r="D61" s="4" t="s">
        <v>17</v>
      </c>
      <c r="E61" s="4" t="s">
        <v>13</v>
      </c>
      <c r="F61" s="4" t="s">
        <v>12</v>
      </c>
      <c r="G61" s="4">
        <v>75231</v>
      </c>
      <c r="H61" s="4">
        <v>0</v>
      </c>
      <c r="I61" s="13">
        <v>985346</v>
      </c>
      <c r="J61" s="4">
        <v>60</v>
      </c>
      <c r="K61" s="4">
        <v>1</v>
      </c>
      <c r="L61" s="4" t="s">
        <v>14</v>
      </c>
      <c r="M61" s="4" t="s">
        <v>15</v>
      </c>
      <c r="N61" s="4" t="s">
        <v>623</v>
      </c>
      <c r="O61" s="4" t="s">
        <v>625</v>
      </c>
      <c r="P61" s="5">
        <v>0.18</v>
      </c>
      <c r="Q61" s="14">
        <f>PMT($Y$75/12,$Y$78,-$Y$74)</f>
        <v>25021.312141592229</v>
      </c>
      <c r="R61" s="4">
        <v>550000</v>
      </c>
      <c r="S61" s="2" t="s">
        <v>12</v>
      </c>
    </row>
    <row r="62" spans="1:28" x14ac:dyDescent="0.3">
      <c r="A62" s="4">
        <v>61</v>
      </c>
      <c r="B62" s="4" t="s">
        <v>81</v>
      </c>
      <c r="C62" s="4" t="s">
        <v>11</v>
      </c>
      <c r="D62" s="4" t="s">
        <v>17</v>
      </c>
      <c r="E62" s="4" t="s">
        <v>13</v>
      </c>
      <c r="F62" s="4" t="s">
        <v>12</v>
      </c>
      <c r="G62" s="4">
        <v>45872</v>
      </c>
      <c r="H62" s="4">
        <v>46320</v>
      </c>
      <c r="I62" s="13">
        <v>879301</v>
      </c>
      <c r="J62" s="4">
        <v>60</v>
      </c>
      <c r="K62" s="4">
        <v>1</v>
      </c>
      <c r="L62" s="4" t="s">
        <v>14</v>
      </c>
      <c r="M62" s="4" t="s">
        <v>15</v>
      </c>
      <c r="N62" s="4" t="s">
        <v>623</v>
      </c>
      <c r="O62" s="4" t="s">
        <v>625</v>
      </c>
      <c r="P62" s="5">
        <v>0.18</v>
      </c>
      <c r="Q62" s="14">
        <f>PMT($AB$75/12,$AB$78,-$AB$74)</f>
        <v>22328.466130084445</v>
      </c>
      <c r="R62" s="4">
        <v>960000</v>
      </c>
      <c r="S62" s="2" t="s">
        <v>12</v>
      </c>
      <c r="U62" s="3" t="s">
        <v>629</v>
      </c>
      <c r="V62" s="4">
        <v>478000</v>
      </c>
      <c r="X62" s="3" t="s">
        <v>629</v>
      </c>
      <c r="Y62" s="4">
        <v>748890</v>
      </c>
      <c r="AA62" s="3" t="s">
        <v>629</v>
      </c>
      <c r="AB62" s="4">
        <v>987200</v>
      </c>
    </row>
    <row r="63" spans="1:28" x14ac:dyDescent="0.3">
      <c r="A63" s="4">
        <v>62</v>
      </c>
      <c r="B63" s="4" t="s">
        <v>82</v>
      </c>
      <c r="C63" s="4" t="s">
        <v>11</v>
      </c>
      <c r="D63" s="4" t="s">
        <v>17</v>
      </c>
      <c r="E63" s="4" t="s">
        <v>22</v>
      </c>
      <c r="F63" s="4" t="s">
        <v>17</v>
      </c>
      <c r="G63" s="4">
        <v>65000</v>
      </c>
      <c r="H63" s="4">
        <v>23600</v>
      </c>
      <c r="I63" s="13">
        <v>597530</v>
      </c>
      <c r="J63" s="4">
        <v>60</v>
      </c>
      <c r="K63" s="4">
        <v>0</v>
      </c>
      <c r="L63" s="4" t="s">
        <v>18</v>
      </c>
      <c r="M63" s="4" t="s">
        <v>19</v>
      </c>
      <c r="N63" s="4" t="s">
        <v>623</v>
      </c>
      <c r="O63" s="4" t="s">
        <v>625</v>
      </c>
      <c r="P63" s="5">
        <v>0.18</v>
      </c>
      <c r="Q63" s="14">
        <f>PMT($V$81/12,$V$84,-$V$80)</f>
        <v>15173.334690520491</v>
      </c>
      <c r="R63" s="4">
        <v>950000</v>
      </c>
      <c r="S63" s="2" t="s">
        <v>12</v>
      </c>
      <c r="U63" s="3" t="s">
        <v>630</v>
      </c>
      <c r="V63" s="8">
        <v>0.18</v>
      </c>
      <c r="X63" s="3" t="s">
        <v>630</v>
      </c>
      <c r="Y63" s="8">
        <v>0.18</v>
      </c>
      <c r="AA63" s="3" t="s">
        <v>630</v>
      </c>
      <c r="AB63" s="8">
        <v>0.18</v>
      </c>
    </row>
    <row r="64" spans="1:28" x14ac:dyDescent="0.3">
      <c r="A64" s="4">
        <v>63</v>
      </c>
      <c r="B64" s="4" t="s">
        <v>83</v>
      </c>
      <c r="C64" s="4" t="s">
        <v>11</v>
      </c>
      <c r="D64" s="4" t="s">
        <v>17</v>
      </c>
      <c r="E64" s="4" t="s">
        <v>13</v>
      </c>
      <c r="F64" s="4" t="s">
        <v>12</v>
      </c>
      <c r="G64" s="4">
        <v>50000</v>
      </c>
      <c r="H64" s="4">
        <v>0</v>
      </c>
      <c r="I64" s="13">
        <v>1000000</v>
      </c>
      <c r="J64" s="4">
        <v>60</v>
      </c>
      <c r="K64" s="4">
        <v>0</v>
      </c>
      <c r="L64" s="4" t="s">
        <v>18</v>
      </c>
      <c r="M64" s="4" t="s">
        <v>19</v>
      </c>
      <c r="N64" s="4" t="s">
        <v>623</v>
      </c>
      <c r="O64" s="4" t="s">
        <v>625</v>
      </c>
      <c r="P64" s="5">
        <v>0.18</v>
      </c>
      <c r="Q64" s="14">
        <f>PMT($V$3/12,$V$6,-$V$2)</f>
        <v>25393.427427109084</v>
      </c>
      <c r="R64" s="4">
        <v>600000</v>
      </c>
      <c r="S64" s="2" t="s">
        <v>12</v>
      </c>
      <c r="U64" s="3" t="s">
        <v>631</v>
      </c>
      <c r="V64" s="3">
        <v>5</v>
      </c>
      <c r="X64" s="3" t="s">
        <v>631</v>
      </c>
      <c r="Y64" s="3">
        <v>5</v>
      </c>
      <c r="AA64" s="3" t="s">
        <v>631</v>
      </c>
      <c r="AB64" s="3">
        <v>5</v>
      </c>
    </row>
    <row r="65" spans="1:28" x14ac:dyDescent="0.3">
      <c r="A65" s="4">
        <v>64</v>
      </c>
      <c r="B65" s="4" t="s">
        <v>84</v>
      </c>
      <c r="C65" s="4" t="s">
        <v>38</v>
      </c>
      <c r="D65" s="4" t="s">
        <v>12</v>
      </c>
      <c r="E65" s="4" t="s">
        <v>13</v>
      </c>
      <c r="F65" s="4" t="s">
        <v>12</v>
      </c>
      <c r="G65" s="4">
        <v>100000</v>
      </c>
      <c r="H65" s="4">
        <v>35000</v>
      </c>
      <c r="I65" s="13">
        <v>1500000</v>
      </c>
      <c r="J65" s="4">
        <v>60</v>
      </c>
      <c r="K65" s="4">
        <v>0</v>
      </c>
      <c r="L65" s="4" t="s">
        <v>27</v>
      </c>
      <c r="M65" s="4" t="s">
        <v>19</v>
      </c>
      <c r="N65" s="4" t="s">
        <v>623</v>
      </c>
      <c r="O65" s="4" t="s">
        <v>625</v>
      </c>
      <c r="P65" s="5">
        <v>0.18</v>
      </c>
      <c r="Q65" s="14">
        <f t="shared" ref="Q65:Q66" si="2">PMT($V$9/12,$V$12,-$V$8)</f>
        <v>38090.141140663625</v>
      </c>
      <c r="R65" s="4">
        <v>1000000</v>
      </c>
      <c r="S65" s="2" t="s">
        <v>12</v>
      </c>
      <c r="U65" s="3" t="s">
        <v>632</v>
      </c>
      <c r="V65" s="3">
        <v>12</v>
      </c>
      <c r="X65" s="3" t="s">
        <v>632</v>
      </c>
      <c r="Y65" s="3">
        <v>12</v>
      </c>
      <c r="AA65" s="3" t="s">
        <v>632</v>
      </c>
      <c r="AB65" s="3">
        <v>12</v>
      </c>
    </row>
    <row r="66" spans="1:28" x14ac:dyDescent="0.3">
      <c r="A66" s="4">
        <v>65</v>
      </c>
      <c r="B66" s="4" t="s">
        <v>85</v>
      </c>
      <c r="C66" s="4" t="s">
        <v>11</v>
      </c>
      <c r="D66" s="4" t="s">
        <v>17</v>
      </c>
      <c r="E66" s="4" t="s">
        <v>13</v>
      </c>
      <c r="F66" s="4" t="s">
        <v>12</v>
      </c>
      <c r="G66" s="4">
        <v>80000</v>
      </c>
      <c r="H66" s="4">
        <v>0</v>
      </c>
      <c r="I66" s="13">
        <v>1500000</v>
      </c>
      <c r="J66" s="4">
        <v>60</v>
      </c>
      <c r="K66" s="4">
        <v>1</v>
      </c>
      <c r="L66" s="4" t="s">
        <v>27</v>
      </c>
      <c r="M66" s="4" t="s">
        <v>19</v>
      </c>
      <c r="N66" s="4" t="s">
        <v>623</v>
      </c>
      <c r="O66" s="4" t="s">
        <v>625</v>
      </c>
      <c r="P66" s="5">
        <v>0.18</v>
      </c>
      <c r="Q66" s="14">
        <f t="shared" si="2"/>
        <v>38090.141140663625</v>
      </c>
      <c r="R66" s="4">
        <v>600000</v>
      </c>
      <c r="S66" s="2" t="s">
        <v>17</v>
      </c>
      <c r="U66" s="3" t="s">
        <v>633</v>
      </c>
      <c r="V66" s="3">
        <v>60</v>
      </c>
      <c r="X66" s="3" t="s">
        <v>633</v>
      </c>
      <c r="Y66" s="3">
        <v>60</v>
      </c>
      <c r="AA66" s="3" t="s">
        <v>633</v>
      </c>
      <c r="AB66" s="3">
        <v>60</v>
      </c>
    </row>
    <row r="67" spans="1:28" x14ac:dyDescent="0.3">
      <c r="A67" s="4">
        <v>66</v>
      </c>
      <c r="B67" s="4" t="s">
        <v>86</v>
      </c>
      <c r="C67" s="4" t="s">
        <v>11</v>
      </c>
      <c r="D67" s="4" t="s">
        <v>12</v>
      </c>
      <c r="E67" s="4" t="s">
        <v>22</v>
      </c>
      <c r="F67" s="4" t="s">
        <v>12</v>
      </c>
      <c r="G67" s="4">
        <v>50000</v>
      </c>
      <c r="H67" s="4">
        <v>0</v>
      </c>
      <c r="I67" s="13">
        <v>500000</v>
      </c>
      <c r="J67" s="4">
        <v>60</v>
      </c>
      <c r="K67" s="4">
        <v>0</v>
      </c>
      <c r="L67" s="4" t="s">
        <v>14</v>
      </c>
      <c r="M67" s="4" t="s">
        <v>19</v>
      </c>
      <c r="N67" s="4" t="s">
        <v>623</v>
      </c>
      <c r="O67" s="4" t="s">
        <v>625</v>
      </c>
      <c r="P67" s="5">
        <v>0.18</v>
      </c>
      <c r="Q67" s="14">
        <f>PMT($V$15/12,$V$18,-$V$14)</f>
        <v>12696.713713554542</v>
      </c>
      <c r="R67" s="4">
        <v>450000</v>
      </c>
      <c r="S67" s="2" t="s">
        <v>12</v>
      </c>
    </row>
    <row r="68" spans="1:28" x14ac:dyDescent="0.3">
      <c r="A68" s="4">
        <v>67</v>
      </c>
      <c r="B68" s="4" t="s">
        <v>87</v>
      </c>
      <c r="C68" s="4" t="s">
        <v>11</v>
      </c>
      <c r="D68" s="4" t="s">
        <v>17</v>
      </c>
      <c r="E68" s="4" t="s">
        <v>13</v>
      </c>
      <c r="F68" s="4" t="s">
        <v>12</v>
      </c>
      <c r="G68" s="4">
        <v>200000</v>
      </c>
      <c r="H68" s="4">
        <v>50000</v>
      </c>
      <c r="I68" s="13">
        <v>3000000</v>
      </c>
      <c r="J68" s="4">
        <v>60</v>
      </c>
      <c r="K68" s="4">
        <v>1</v>
      </c>
      <c r="L68" s="4" t="s">
        <v>14</v>
      </c>
      <c r="M68" s="4" t="s">
        <v>15</v>
      </c>
      <c r="N68" s="4" t="s">
        <v>623</v>
      </c>
      <c r="O68" s="4" t="s">
        <v>625</v>
      </c>
      <c r="P68" s="5">
        <v>0.18</v>
      </c>
      <c r="Q68" s="14">
        <f>PMT($Y$81/12,$Y$84,-$Y$80)</f>
        <v>76180.282281327251</v>
      </c>
      <c r="R68" s="4">
        <v>1500000</v>
      </c>
      <c r="S68" s="2" t="s">
        <v>12</v>
      </c>
      <c r="U68" s="3" t="s">
        <v>629</v>
      </c>
      <c r="V68" s="4">
        <v>587200</v>
      </c>
      <c r="X68" s="3" t="s">
        <v>629</v>
      </c>
      <c r="Y68" s="4">
        <v>762019</v>
      </c>
      <c r="AA68" s="3" t="s">
        <v>629</v>
      </c>
      <c r="AB68" s="4">
        <v>962314</v>
      </c>
    </row>
    <row r="69" spans="1:28" x14ac:dyDescent="0.3">
      <c r="A69" s="4">
        <v>68</v>
      </c>
      <c r="B69" s="4" t="s">
        <v>88</v>
      </c>
      <c r="C69" s="4" t="s">
        <v>11</v>
      </c>
      <c r="D69" s="4" t="s">
        <v>17</v>
      </c>
      <c r="E69" s="4" t="s">
        <v>22</v>
      </c>
      <c r="F69" s="4" t="s">
        <v>17</v>
      </c>
      <c r="G69" s="4">
        <v>75000</v>
      </c>
      <c r="H69" s="4">
        <v>25000</v>
      </c>
      <c r="I69" s="13">
        <v>1000000</v>
      </c>
      <c r="J69" s="4">
        <v>60</v>
      </c>
      <c r="K69" s="4">
        <v>1</v>
      </c>
      <c r="L69" s="4" t="s">
        <v>14</v>
      </c>
      <c r="M69" s="4" t="s">
        <v>15</v>
      </c>
      <c r="N69" s="4" t="s">
        <v>623</v>
      </c>
      <c r="O69" s="4" t="s">
        <v>625</v>
      </c>
      <c r="P69" s="5">
        <v>0.18</v>
      </c>
      <c r="Q69" s="14">
        <f>PMT($V$3/12,$V$6,-$V$2)</f>
        <v>25393.427427109084</v>
      </c>
      <c r="R69" s="4">
        <v>800000</v>
      </c>
      <c r="S69" s="2" t="s">
        <v>12</v>
      </c>
      <c r="U69" s="3" t="s">
        <v>630</v>
      </c>
      <c r="V69" s="8">
        <v>0.18</v>
      </c>
      <c r="X69" s="3" t="s">
        <v>630</v>
      </c>
      <c r="Y69" s="8">
        <v>0.18</v>
      </c>
      <c r="AA69" s="3" t="s">
        <v>630</v>
      </c>
      <c r="AB69" s="8">
        <v>0.18</v>
      </c>
    </row>
    <row r="70" spans="1:28" x14ac:dyDescent="0.3">
      <c r="A70" s="4">
        <v>69</v>
      </c>
      <c r="B70" s="4" t="s">
        <v>89</v>
      </c>
      <c r="C70" s="4" t="s">
        <v>38</v>
      </c>
      <c r="D70" s="4" t="s">
        <v>12</v>
      </c>
      <c r="E70" s="4" t="s">
        <v>13</v>
      </c>
      <c r="F70" s="4" t="s">
        <v>12</v>
      </c>
      <c r="G70" s="4">
        <v>50000</v>
      </c>
      <c r="H70" s="4">
        <v>35000</v>
      </c>
      <c r="I70" s="13">
        <v>1500000</v>
      </c>
      <c r="J70" s="4">
        <v>60</v>
      </c>
      <c r="K70" s="4">
        <v>0</v>
      </c>
      <c r="L70" s="4" t="s">
        <v>27</v>
      </c>
      <c r="M70" s="4" t="s">
        <v>19</v>
      </c>
      <c r="N70" s="4" t="s">
        <v>623</v>
      </c>
      <c r="O70" s="4" t="s">
        <v>625</v>
      </c>
      <c r="P70" s="5">
        <v>0.18</v>
      </c>
      <c r="Q70" s="14">
        <f>PMT($V$9/12,$V$12,-$V$8)</f>
        <v>38090.141140663625</v>
      </c>
      <c r="R70" s="4">
        <v>900000</v>
      </c>
      <c r="S70" s="2" t="s">
        <v>12</v>
      </c>
      <c r="U70" s="3" t="s">
        <v>631</v>
      </c>
      <c r="V70" s="3">
        <v>5</v>
      </c>
      <c r="X70" s="3" t="s">
        <v>631</v>
      </c>
      <c r="Y70" s="3">
        <v>5</v>
      </c>
      <c r="AA70" s="3" t="s">
        <v>631</v>
      </c>
      <c r="AB70" s="3">
        <v>5</v>
      </c>
    </row>
    <row r="71" spans="1:28" x14ac:dyDescent="0.3">
      <c r="A71" s="4">
        <v>70</v>
      </c>
      <c r="B71" s="4" t="s">
        <v>90</v>
      </c>
      <c r="C71" s="4" t="s">
        <v>11</v>
      </c>
      <c r="D71" s="4" t="s">
        <v>17</v>
      </c>
      <c r="E71" s="4" t="s">
        <v>13</v>
      </c>
      <c r="F71" s="4" t="s">
        <v>12</v>
      </c>
      <c r="G71" s="4">
        <v>85000</v>
      </c>
      <c r="H71" s="4">
        <v>0</v>
      </c>
      <c r="I71" s="13">
        <v>1000000</v>
      </c>
      <c r="J71" s="4">
        <v>60</v>
      </c>
      <c r="K71" s="4">
        <v>1</v>
      </c>
      <c r="L71" s="4" t="s">
        <v>14</v>
      </c>
      <c r="M71" s="4" t="s">
        <v>15</v>
      </c>
      <c r="N71" s="4" t="s">
        <v>623</v>
      </c>
      <c r="O71" s="4" t="s">
        <v>625</v>
      </c>
      <c r="P71" s="5">
        <v>0.18</v>
      </c>
      <c r="Q71" s="14">
        <f>PMT($V$3/12,$V$6,-$V$2)</f>
        <v>25393.427427109084</v>
      </c>
      <c r="R71" s="4">
        <v>560000</v>
      </c>
      <c r="S71" s="2" t="s">
        <v>12</v>
      </c>
      <c r="U71" s="3" t="s">
        <v>632</v>
      </c>
      <c r="V71" s="3">
        <v>12</v>
      </c>
      <c r="X71" s="3" t="s">
        <v>632</v>
      </c>
      <c r="Y71" s="3">
        <v>12</v>
      </c>
      <c r="AA71" s="3" t="s">
        <v>632</v>
      </c>
      <c r="AB71" s="3">
        <v>12</v>
      </c>
    </row>
    <row r="72" spans="1:28" x14ac:dyDescent="0.3">
      <c r="A72" s="4">
        <v>71</v>
      </c>
      <c r="B72" s="4" t="s">
        <v>91</v>
      </c>
      <c r="C72" s="4" t="s">
        <v>11</v>
      </c>
      <c r="D72" s="4" t="s">
        <v>17</v>
      </c>
      <c r="E72" s="4" t="s">
        <v>22</v>
      </c>
      <c r="F72" s="4" t="s">
        <v>17</v>
      </c>
      <c r="G72" s="4">
        <v>50000</v>
      </c>
      <c r="H72" s="4">
        <v>30000</v>
      </c>
      <c r="I72" s="13">
        <v>2000000</v>
      </c>
      <c r="J72" s="4">
        <v>60</v>
      </c>
      <c r="K72" s="4">
        <v>1</v>
      </c>
      <c r="L72" s="4" t="s">
        <v>27</v>
      </c>
      <c r="M72" s="4" t="s">
        <v>15</v>
      </c>
      <c r="N72" s="4" t="s">
        <v>623</v>
      </c>
      <c r="O72" s="4" t="s">
        <v>625</v>
      </c>
      <c r="P72" s="5">
        <v>0.18</v>
      </c>
      <c r="Q72" s="14">
        <f>PMT($V$27/12,$V$30,-$V$26)</f>
        <v>50786.854854218167</v>
      </c>
      <c r="R72" s="4">
        <v>450000</v>
      </c>
      <c r="S72" s="2" t="s">
        <v>12</v>
      </c>
      <c r="U72" s="3" t="s">
        <v>633</v>
      </c>
      <c r="V72" s="3">
        <v>60</v>
      </c>
      <c r="X72" s="3" t="s">
        <v>633</v>
      </c>
      <c r="Y72" s="3">
        <v>60</v>
      </c>
      <c r="AA72" s="3" t="s">
        <v>633</v>
      </c>
      <c r="AB72" s="3">
        <v>60</v>
      </c>
    </row>
    <row r="73" spans="1:28" x14ac:dyDescent="0.3">
      <c r="A73" s="4">
        <v>72</v>
      </c>
      <c r="B73" s="4" t="s">
        <v>92</v>
      </c>
      <c r="C73" s="4" t="s">
        <v>11</v>
      </c>
      <c r="D73" s="4" t="s">
        <v>12</v>
      </c>
      <c r="E73" s="4" t="s">
        <v>13</v>
      </c>
      <c r="F73" s="4" t="s">
        <v>12</v>
      </c>
      <c r="G73" s="4">
        <v>65000</v>
      </c>
      <c r="H73" s="4">
        <v>20000</v>
      </c>
      <c r="I73" s="13">
        <v>800000</v>
      </c>
      <c r="J73" s="4">
        <v>60</v>
      </c>
      <c r="K73" s="4">
        <v>1</v>
      </c>
      <c r="L73" s="4" t="s">
        <v>27</v>
      </c>
      <c r="M73" s="4" t="s">
        <v>15</v>
      </c>
      <c r="N73" s="4" t="s">
        <v>623</v>
      </c>
      <c r="O73" s="4" t="s">
        <v>625</v>
      </c>
      <c r="P73" s="5">
        <v>0.18</v>
      </c>
      <c r="Q73" s="14">
        <f>PMT($V$33/12,$V$36,-$V$32)</f>
        <v>20314.741941687265</v>
      </c>
      <c r="R73" s="4">
        <v>450000</v>
      </c>
      <c r="S73" s="2" t="s">
        <v>12</v>
      </c>
    </row>
    <row r="74" spans="1:28" x14ac:dyDescent="0.3">
      <c r="A74" s="4">
        <v>73</v>
      </c>
      <c r="B74" s="4" t="s">
        <v>93</v>
      </c>
      <c r="C74" s="4" t="s">
        <v>11</v>
      </c>
      <c r="D74" s="4" t="s">
        <v>17</v>
      </c>
      <c r="E74" s="4" t="s">
        <v>22</v>
      </c>
      <c r="F74" s="4" t="s">
        <v>12</v>
      </c>
      <c r="G74" s="4">
        <v>55000</v>
      </c>
      <c r="H74" s="4">
        <v>25000</v>
      </c>
      <c r="I74" s="13">
        <v>1000000</v>
      </c>
      <c r="J74" s="4">
        <v>60</v>
      </c>
      <c r="K74" s="4">
        <v>0</v>
      </c>
      <c r="L74" s="4" t="s">
        <v>27</v>
      </c>
      <c r="M74" s="4" t="s">
        <v>19</v>
      </c>
      <c r="N74" s="4" t="s">
        <v>623</v>
      </c>
      <c r="O74" s="4" t="s">
        <v>625</v>
      </c>
      <c r="P74" s="5">
        <v>0.18</v>
      </c>
      <c r="Q74" s="14">
        <f t="shared" ref="Q74:Q75" si="3">PMT($V$3/12,$V$6,-$V$2)</f>
        <v>25393.427427109084</v>
      </c>
      <c r="R74" s="4">
        <v>600000</v>
      </c>
      <c r="S74" s="2" t="s">
        <v>12</v>
      </c>
      <c r="U74" s="3" t="s">
        <v>629</v>
      </c>
      <c r="V74" s="4">
        <v>469820</v>
      </c>
      <c r="X74" s="3" t="s">
        <v>629</v>
      </c>
      <c r="Y74" s="4">
        <v>985346</v>
      </c>
      <c r="AA74" s="3" t="s">
        <v>629</v>
      </c>
      <c r="AB74" s="4">
        <v>879301</v>
      </c>
    </row>
    <row r="75" spans="1:28" x14ac:dyDescent="0.3">
      <c r="A75" s="4">
        <v>74</v>
      </c>
      <c r="B75" s="4" t="s">
        <v>94</v>
      </c>
      <c r="C75" s="4" t="s">
        <v>11</v>
      </c>
      <c r="D75" s="4" t="s">
        <v>17</v>
      </c>
      <c r="E75" s="4" t="s">
        <v>13</v>
      </c>
      <c r="F75" s="4" t="s">
        <v>17</v>
      </c>
      <c r="G75" s="4">
        <v>45000</v>
      </c>
      <c r="H75" s="4">
        <v>40000</v>
      </c>
      <c r="I75" s="13">
        <v>1000000</v>
      </c>
      <c r="J75" s="4">
        <v>60</v>
      </c>
      <c r="K75" s="4">
        <v>1</v>
      </c>
      <c r="L75" s="4" t="s">
        <v>27</v>
      </c>
      <c r="M75" s="4" t="s">
        <v>15</v>
      </c>
      <c r="N75" s="4" t="s">
        <v>623</v>
      </c>
      <c r="O75" s="4" t="s">
        <v>625</v>
      </c>
      <c r="P75" s="5">
        <v>0.18</v>
      </c>
      <c r="Q75" s="14">
        <f t="shared" si="3"/>
        <v>25393.427427109084</v>
      </c>
      <c r="R75" s="4">
        <v>500000</v>
      </c>
      <c r="S75" s="2" t="s">
        <v>12</v>
      </c>
      <c r="U75" s="3" t="s">
        <v>630</v>
      </c>
      <c r="V75" s="8">
        <v>0.18</v>
      </c>
      <c r="X75" s="3" t="s">
        <v>630</v>
      </c>
      <c r="Y75" s="8">
        <v>0.18</v>
      </c>
      <c r="AA75" s="3" t="s">
        <v>630</v>
      </c>
      <c r="AB75" s="8">
        <v>0.18</v>
      </c>
    </row>
    <row r="76" spans="1:28" x14ac:dyDescent="0.3">
      <c r="A76" s="4">
        <v>75</v>
      </c>
      <c r="B76" s="4" t="s">
        <v>95</v>
      </c>
      <c r="C76" s="4" t="s">
        <v>11</v>
      </c>
      <c r="D76" s="4" t="s">
        <v>12</v>
      </c>
      <c r="E76" s="4" t="s">
        <v>13</v>
      </c>
      <c r="F76" s="4" t="s">
        <v>12</v>
      </c>
      <c r="G76" s="4">
        <v>25000</v>
      </c>
      <c r="H76" s="4">
        <v>0</v>
      </c>
      <c r="I76" s="13">
        <v>500000</v>
      </c>
      <c r="J76" s="4">
        <v>60</v>
      </c>
      <c r="K76" s="4">
        <v>1</v>
      </c>
      <c r="L76" s="4" t="s">
        <v>14</v>
      </c>
      <c r="M76" s="4" t="s">
        <v>19</v>
      </c>
      <c r="N76" s="4" t="s">
        <v>623</v>
      </c>
      <c r="O76" s="4" t="s">
        <v>625</v>
      </c>
      <c r="P76" s="5">
        <v>0.18</v>
      </c>
      <c r="Q76" s="14">
        <f t="shared" ref="Q76:Q77" si="4">PMT($V$15/12,$V$18,-$V$14)</f>
        <v>12696.713713554542</v>
      </c>
      <c r="R76" s="4" t="s">
        <v>635</v>
      </c>
      <c r="S76" s="2" t="s">
        <v>12</v>
      </c>
      <c r="U76" s="3" t="s">
        <v>631</v>
      </c>
      <c r="V76" s="3">
        <v>5</v>
      </c>
      <c r="X76" s="3" t="s">
        <v>631</v>
      </c>
      <c r="Y76" s="3">
        <v>5</v>
      </c>
      <c r="AA76" s="3" t="s">
        <v>631</v>
      </c>
      <c r="AB76" s="3">
        <v>5</v>
      </c>
    </row>
    <row r="77" spans="1:28" x14ac:dyDescent="0.3">
      <c r="A77" s="4">
        <v>76</v>
      </c>
      <c r="B77" s="4" t="s">
        <v>96</v>
      </c>
      <c r="C77" s="4" t="s">
        <v>11</v>
      </c>
      <c r="D77" s="4" t="s">
        <v>12</v>
      </c>
      <c r="E77" s="4" t="s">
        <v>13</v>
      </c>
      <c r="F77" s="4" t="s">
        <v>12</v>
      </c>
      <c r="G77" s="4">
        <v>50000</v>
      </c>
      <c r="H77" s="4">
        <v>0</v>
      </c>
      <c r="I77" s="13">
        <v>500000</v>
      </c>
      <c r="J77" s="4">
        <v>60</v>
      </c>
      <c r="K77" s="4">
        <v>1</v>
      </c>
      <c r="L77" s="4" t="s">
        <v>14</v>
      </c>
      <c r="M77" s="4" t="s">
        <v>19</v>
      </c>
      <c r="N77" s="4" t="s">
        <v>623</v>
      </c>
      <c r="O77" s="4" t="s">
        <v>625</v>
      </c>
      <c r="P77" s="5">
        <v>0.18</v>
      </c>
      <c r="Q77" s="14">
        <f t="shared" si="4"/>
        <v>12696.713713554542</v>
      </c>
      <c r="R77" s="4">
        <v>200000</v>
      </c>
      <c r="S77" s="2" t="s">
        <v>12</v>
      </c>
      <c r="U77" s="3" t="s">
        <v>632</v>
      </c>
      <c r="V77" s="3">
        <v>12</v>
      </c>
      <c r="X77" s="3" t="s">
        <v>632</v>
      </c>
      <c r="Y77" s="3">
        <v>12</v>
      </c>
      <c r="AA77" s="3" t="s">
        <v>632</v>
      </c>
      <c r="AB77" s="3">
        <v>12</v>
      </c>
    </row>
    <row r="78" spans="1:28" x14ac:dyDescent="0.3">
      <c r="A78" s="4">
        <v>77</v>
      </c>
      <c r="B78" s="4" t="s">
        <v>97</v>
      </c>
      <c r="C78" s="4" t="s">
        <v>11</v>
      </c>
      <c r="D78" s="4" t="s">
        <v>17</v>
      </c>
      <c r="E78" s="4" t="s">
        <v>13</v>
      </c>
      <c r="F78" s="4" t="s">
        <v>17</v>
      </c>
      <c r="G78" s="4">
        <v>15000</v>
      </c>
      <c r="H78" s="4">
        <v>10000</v>
      </c>
      <c r="I78" s="13">
        <v>600000</v>
      </c>
      <c r="J78" s="4">
        <v>60</v>
      </c>
      <c r="K78" s="4">
        <v>1</v>
      </c>
      <c r="L78" s="4" t="s">
        <v>14</v>
      </c>
      <c r="M78" s="4" t="s">
        <v>19</v>
      </c>
      <c r="N78" s="4" t="s">
        <v>623</v>
      </c>
      <c r="O78" s="4" t="s">
        <v>625</v>
      </c>
      <c r="P78" s="5">
        <v>0.18</v>
      </c>
      <c r="Q78" s="14">
        <f>PMT($V$39/12,$V$42,-$V$38)</f>
        <v>15236.056456265451</v>
      </c>
      <c r="R78" s="4" t="s">
        <v>635</v>
      </c>
      <c r="S78" s="2" t="s">
        <v>12</v>
      </c>
      <c r="U78" s="3" t="s">
        <v>633</v>
      </c>
      <c r="V78" s="3">
        <v>60</v>
      </c>
      <c r="X78" s="3" t="s">
        <v>633</v>
      </c>
      <c r="Y78" s="3">
        <v>60</v>
      </c>
      <c r="AA78" s="3" t="s">
        <v>633</v>
      </c>
      <c r="AB78" s="3">
        <v>60</v>
      </c>
    </row>
    <row r="79" spans="1:28" x14ac:dyDescent="0.3">
      <c r="A79" s="4">
        <v>78</v>
      </c>
      <c r="B79" s="4" t="s">
        <v>98</v>
      </c>
      <c r="C79" s="4" t="s">
        <v>11</v>
      </c>
      <c r="D79" s="4" t="s">
        <v>17</v>
      </c>
      <c r="E79" s="4" t="s">
        <v>13</v>
      </c>
      <c r="F79" s="4" t="s">
        <v>12</v>
      </c>
      <c r="G79" s="4">
        <v>150000</v>
      </c>
      <c r="H79" s="4">
        <v>0</v>
      </c>
      <c r="I79" s="13">
        <v>2000000</v>
      </c>
      <c r="J79" s="4">
        <v>60</v>
      </c>
      <c r="K79" s="4">
        <v>0</v>
      </c>
      <c r="L79" s="4" t="s">
        <v>27</v>
      </c>
      <c r="M79" s="4" t="s">
        <v>19</v>
      </c>
      <c r="N79" s="4" t="s">
        <v>623</v>
      </c>
      <c r="O79" s="4" t="s">
        <v>625</v>
      </c>
      <c r="P79" s="5">
        <v>0.18</v>
      </c>
      <c r="Q79" s="14">
        <f>PMT($V$27/12,$V$30,-$V$26)</f>
        <v>50786.854854218167</v>
      </c>
      <c r="R79" s="4">
        <v>800000</v>
      </c>
      <c r="S79" s="2" t="s">
        <v>12</v>
      </c>
    </row>
    <row r="80" spans="1:28" x14ac:dyDescent="0.3">
      <c r="A80" s="4">
        <v>79</v>
      </c>
      <c r="B80" s="4" t="s">
        <v>99</v>
      </c>
      <c r="C80" s="4" t="s">
        <v>11</v>
      </c>
      <c r="D80" s="4" t="s">
        <v>17</v>
      </c>
      <c r="E80" s="4" t="s">
        <v>22</v>
      </c>
      <c r="F80" s="4" t="s">
        <v>17</v>
      </c>
      <c r="G80" s="4">
        <v>20000</v>
      </c>
      <c r="H80" s="4">
        <v>10000</v>
      </c>
      <c r="I80" s="13">
        <v>756201</v>
      </c>
      <c r="J80" s="4">
        <v>60</v>
      </c>
      <c r="K80" s="4">
        <v>0</v>
      </c>
      <c r="L80" s="4" t="s">
        <v>27</v>
      </c>
      <c r="M80" s="4" t="s">
        <v>15</v>
      </c>
      <c r="N80" s="4" t="s">
        <v>623</v>
      </c>
      <c r="O80" s="4" t="s">
        <v>625</v>
      </c>
      <c r="P80" s="5">
        <v>0.18</v>
      </c>
      <c r="Q80" s="14">
        <f>PMT($Y$3/12,$Y$6,-$Y$2)</f>
        <v>19202.535213807318</v>
      </c>
      <c r="R80" s="4">
        <v>150000</v>
      </c>
      <c r="S80" s="2" t="s">
        <v>12</v>
      </c>
      <c r="U80" s="3" t="s">
        <v>629</v>
      </c>
      <c r="V80" s="4">
        <v>597530</v>
      </c>
      <c r="X80" s="3" t="s">
        <v>629</v>
      </c>
      <c r="Y80" s="4">
        <v>3000000</v>
      </c>
      <c r="AA80" s="3" t="s">
        <v>629</v>
      </c>
      <c r="AB80" s="4">
        <v>352000</v>
      </c>
    </row>
    <row r="81" spans="1:28" x14ac:dyDescent="0.3">
      <c r="A81" s="4">
        <v>80</v>
      </c>
      <c r="B81" s="4" t="s">
        <v>100</v>
      </c>
      <c r="C81" s="4" t="s">
        <v>38</v>
      </c>
      <c r="D81" s="4" t="s">
        <v>12</v>
      </c>
      <c r="E81" s="4" t="s">
        <v>13</v>
      </c>
      <c r="F81" s="4" t="s">
        <v>12</v>
      </c>
      <c r="G81" s="4">
        <v>50000</v>
      </c>
      <c r="H81" s="4">
        <v>25000</v>
      </c>
      <c r="I81" s="13">
        <v>200000</v>
      </c>
      <c r="J81" s="4">
        <v>60</v>
      </c>
      <c r="K81" s="4">
        <v>1</v>
      </c>
      <c r="L81" s="4" t="s">
        <v>27</v>
      </c>
      <c r="M81" s="4" t="s">
        <v>15</v>
      </c>
      <c r="N81" s="4" t="s">
        <v>623</v>
      </c>
      <c r="O81" s="4" t="s">
        <v>625</v>
      </c>
      <c r="P81" s="5">
        <v>0.18</v>
      </c>
      <c r="Q81" s="14">
        <f>PMT($Y$9/12,$Y$12,-$Y$8)</f>
        <v>5078.6854854218163</v>
      </c>
      <c r="R81" s="4">
        <v>400000</v>
      </c>
      <c r="S81" s="2" t="s">
        <v>12</v>
      </c>
      <c r="U81" s="3" t="s">
        <v>630</v>
      </c>
      <c r="V81" s="8">
        <v>0.18</v>
      </c>
      <c r="X81" s="3" t="s">
        <v>630</v>
      </c>
      <c r="Y81" s="8">
        <v>0.18</v>
      </c>
      <c r="AA81" s="3" t="s">
        <v>630</v>
      </c>
      <c r="AB81" s="8">
        <v>0.18</v>
      </c>
    </row>
    <row r="82" spans="1:28" x14ac:dyDescent="0.3">
      <c r="A82" s="4">
        <v>81</v>
      </c>
      <c r="B82" s="4" t="s">
        <v>101</v>
      </c>
      <c r="C82" s="4" t="s">
        <v>11</v>
      </c>
      <c r="D82" s="4" t="s">
        <v>17</v>
      </c>
      <c r="E82" s="4" t="s">
        <v>13</v>
      </c>
      <c r="F82" s="4" t="s">
        <v>17</v>
      </c>
      <c r="G82" s="4">
        <v>26000</v>
      </c>
      <c r="H82" s="4">
        <v>15000</v>
      </c>
      <c r="I82" s="13">
        <v>549820</v>
      </c>
      <c r="J82" s="4">
        <v>60</v>
      </c>
      <c r="K82" s="4">
        <v>1</v>
      </c>
      <c r="L82" s="4" t="s">
        <v>27</v>
      </c>
      <c r="M82" s="4" t="s">
        <v>15</v>
      </c>
      <c r="N82" s="4" t="s">
        <v>623</v>
      </c>
      <c r="O82" s="4" t="s">
        <v>625</v>
      </c>
      <c r="P82" s="5">
        <v>0.18</v>
      </c>
      <c r="Q82" s="14">
        <f>PMT($Y$15/12,$Y$18,-$Y$14)</f>
        <v>13961.814267973117</v>
      </c>
      <c r="R82" s="4">
        <v>150000</v>
      </c>
      <c r="S82" s="2" t="s">
        <v>17</v>
      </c>
      <c r="U82" s="3" t="s">
        <v>631</v>
      </c>
      <c r="V82" s="3">
        <v>5</v>
      </c>
      <c r="X82" s="3" t="s">
        <v>631</v>
      </c>
      <c r="Y82" s="3">
        <v>5</v>
      </c>
      <c r="AA82" s="3" t="s">
        <v>631</v>
      </c>
      <c r="AB82" s="3">
        <v>5</v>
      </c>
    </row>
    <row r="83" spans="1:28" x14ac:dyDescent="0.3">
      <c r="A83" s="4">
        <v>82</v>
      </c>
      <c r="B83" s="4" t="s">
        <v>102</v>
      </c>
      <c r="C83" s="4" t="s">
        <v>38</v>
      </c>
      <c r="D83" s="4" t="s">
        <v>17</v>
      </c>
      <c r="E83" s="4" t="s">
        <v>13</v>
      </c>
      <c r="F83" s="4" t="s">
        <v>12</v>
      </c>
      <c r="G83" s="4">
        <v>100000</v>
      </c>
      <c r="H83" s="4">
        <v>0</v>
      </c>
      <c r="I83" s="13">
        <v>1500000</v>
      </c>
      <c r="J83" s="4">
        <v>60</v>
      </c>
      <c r="K83" s="4">
        <v>1</v>
      </c>
      <c r="L83" s="4" t="s">
        <v>14</v>
      </c>
      <c r="M83" s="4" t="s">
        <v>19</v>
      </c>
      <c r="N83" s="4" t="s">
        <v>623</v>
      </c>
      <c r="O83" s="4" t="s">
        <v>625</v>
      </c>
      <c r="P83" s="5">
        <v>0.18</v>
      </c>
      <c r="Q83" s="14">
        <f>PMT($V$9/12,$V$12,-$V$8)</f>
        <v>38090.141140663625</v>
      </c>
      <c r="R83" s="4">
        <v>500000</v>
      </c>
      <c r="S83" s="2" t="s">
        <v>12</v>
      </c>
      <c r="U83" s="3" t="s">
        <v>632</v>
      </c>
      <c r="V83" s="3">
        <v>12</v>
      </c>
      <c r="X83" s="3" t="s">
        <v>632</v>
      </c>
      <c r="Y83" s="3">
        <v>12</v>
      </c>
      <c r="AA83" s="3" t="s">
        <v>632</v>
      </c>
      <c r="AB83" s="3">
        <v>12</v>
      </c>
    </row>
    <row r="84" spans="1:28" x14ac:dyDescent="0.3">
      <c r="A84" s="4">
        <v>83</v>
      </c>
      <c r="B84" s="4" t="s">
        <v>103</v>
      </c>
      <c r="C84" s="4" t="s">
        <v>11</v>
      </c>
      <c r="D84" s="4" t="s">
        <v>17</v>
      </c>
      <c r="E84" s="4" t="s">
        <v>13</v>
      </c>
      <c r="F84" s="4" t="s">
        <v>12</v>
      </c>
      <c r="G84" s="4">
        <v>90000</v>
      </c>
      <c r="H84" s="4">
        <v>0</v>
      </c>
      <c r="I84" s="13">
        <v>2000000</v>
      </c>
      <c r="J84" s="4">
        <v>60</v>
      </c>
      <c r="K84" s="4">
        <v>0</v>
      </c>
      <c r="L84" s="4" t="s">
        <v>27</v>
      </c>
      <c r="M84" s="4" t="s">
        <v>19</v>
      </c>
      <c r="N84" s="4" t="s">
        <v>623</v>
      </c>
      <c r="O84" s="4" t="s">
        <v>625</v>
      </c>
      <c r="P84" s="5">
        <v>0.18</v>
      </c>
      <c r="Q84" s="14">
        <f>PMT($V$27/12,$V$30,-$V$26)</f>
        <v>50786.854854218167</v>
      </c>
      <c r="R84" s="4">
        <v>450000</v>
      </c>
      <c r="S84" s="2" t="s">
        <v>17</v>
      </c>
      <c r="U84" s="3" t="s">
        <v>633</v>
      </c>
      <c r="V84" s="3">
        <v>60</v>
      </c>
      <c r="X84" s="3" t="s">
        <v>633</v>
      </c>
      <c r="Y84" s="3">
        <v>60</v>
      </c>
      <c r="AA84" s="3" t="s">
        <v>633</v>
      </c>
      <c r="AB84" s="3">
        <v>60</v>
      </c>
    </row>
    <row r="85" spans="1:28" x14ac:dyDescent="0.3">
      <c r="A85" s="4">
        <v>84</v>
      </c>
      <c r="B85" s="4" t="s">
        <v>104</v>
      </c>
      <c r="C85" s="4" t="s">
        <v>11</v>
      </c>
      <c r="D85" s="4" t="s">
        <v>17</v>
      </c>
      <c r="E85" s="4" t="s">
        <v>13</v>
      </c>
      <c r="F85" s="4" t="s">
        <v>12</v>
      </c>
      <c r="G85" s="4">
        <v>55000</v>
      </c>
      <c r="H85" s="4">
        <v>25000</v>
      </c>
      <c r="I85" s="13">
        <v>1220000</v>
      </c>
      <c r="J85" s="4">
        <v>60</v>
      </c>
      <c r="K85" s="4">
        <v>1</v>
      </c>
      <c r="L85" s="4" t="s">
        <v>14</v>
      </c>
      <c r="M85" s="4" t="s">
        <v>15</v>
      </c>
      <c r="N85" s="4" t="s">
        <v>623</v>
      </c>
      <c r="O85" s="4" t="s">
        <v>625</v>
      </c>
      <c r="P85" s="5">
        <v>0.18</v>
      </c>
      <c r="Q85" s="14">
        <f>PMT($Y$21/12,$Y$24,-$Y$20)</f>
        <v>30979.981461073083</v>
      </c>
      <c r="R85" s="4">
        <v>500000</v>
      </c>
      <c r="S85" s="2" t="s">
        <v>12</v>
      </c>
    </row>
    <row r="86" spans="1:28" x14ac:dyDescent="0.3">
      <c r="A86" s="4">
        <v>85</v>
      </c>
      <c r="B86" s="4" t="s">
        <v>105</v>
      </c>
      <c r="C86" s="4" t="s">
        <v>11</v>
      </c>
      <c r="D86" s="4" t="s">
        <v>12</v>
      </c>
      <c r="E86" s="4" t="s">
        <v>13</v>
      </c>
      <c r="F86" s="4" t="s">
        <v>12</v>
      </c>
      <c r="G86" s="4">
        <v>26540</v>
      </c>
      <c r="H86" s="4">
        <v>12300</v>
      </c>
      <c r="I86" s="13">
        <v>423600</v>
      </c>
      <c r="J86" s="4">
        <v>60</v>
      </c>
      <c r="K86" s="4">
        <v>1</v>
      </c>
      <c r="L86" s="4" t="s">
        <v>27</v>
      </c>
      <c r="M86" s="4" t="s">
        <v>15</v>
      </c>
      <c r="N86" s="4" t="s">
        <v>623</v>
      </c>
      <c r="O86" s="4" t="s">
        <v>625</v>
      </c>
      <c r="P86" s="5">
        <v>0.18</v>
      </c>
      <c r="Q86" s="14">
        <f>PMT($Y$27/12,$Y$30,-$Y$26)</f>
        <v>10756.655858123409</v>
      </c>
      <c r="R86" s="4">
        <v>150000</v>
      </c>
      <c r="S86" s="2" t="s">
        <v>12</v>
      </c>
      <c r="V86" s="11"/>
      <c r="Y86" s="11"/>
      <c r="AB86" s="11"/>
    </row>
    <row r="87" spans="1:28" x14ac:dyDescent="0.3">
      <c r="A87" s="4">
        <v>86</v>
      </c>
      <c r="B87" s="4" t="s">
        <v>106</v>
      </c>
      <c r="C87" s="4" t="s">
        <v>11</v>
      </c>
      <c r="D87" s="4" t="s">
        <v>17</v>
      </c>
      <c r="E87" s="4" t="s">
        <v>22</v>
      </c>
      <c r="F87" s="4" t="s">
        <v>12</v>
      </c>
      <c r="G87" s="4">
        <v>20000</v>
      </c>
      <c r="H87" s="4">
        <v>0</v>
      </c>
      <c r="I87" s="13">
        <v>365890</v>
      </c>
      <c r="J87" s="4">
        <v>60</v>
      </c>
      <c r="K87" s="4">
        <v>0</v>
      </c>
      <c r="L87" s="4" t="s">
        <v>27</v>
      </c>
      <c r="M87" s="4" t="s">
        <v>15</v>
      </c>
      <c r="N87" s="4" t="s">
        <v>623</v>
      </c>
      <c r="O87" s="4" t="s">
        <v>625</v>
      </c>
      <c r="P87" s="5">
        <v>0.18</v>
      </c>
      <c r="Q87" s="14">
        <f>PMT($Y$33/12,$Y$36,-$Y$32)</f>
        <v>9291.2011613049435</v>
      </c>
      <c r="R87" s="4" t="s">
        <v>635</v>
      </c>
      <c r="S87" s="2" t="s">
        <v>12</v>
      </c>
      <c r="V87" s="12"/>
      <c r="Y87" s="12"/>
      <c r="AB87" s="12"/>
    </row>
    <row r="88" spans="1:28" x14ac:dyDescent="0.3">
      <c r="A88" s="4">
        <v>87</v>
      </c>
      <c r="B88" s="4" t="s">
        <v>107</v>
      </c>
      <c r="C88" s="4" t="s">
        <v>11</v>
      </c>
      <c r="D88" s="4" t="s">
        <v>17</v>
      </c>
      <c r="E88" s="4" t="s">
        <v>13</v>
      </c>
      <c r="F88" s="4" t="s">
        <v>12</v>
      </c>
      <c r="G88" s="4">
        <v>55800</v>
      </c>
      <c r="H88" s="4">
        <v>0</v>
      </c>
      <c r="I88" s="13">
        <v>500000</v>
      </c>
      <c r="J88" s="4">
        <v>60</v>
      </c>
      <c r="K88" s="4">
        <v>1</v>
      </c>
      <c r="L88" s="4" t="s">
        <v>27</v>
      </c>
      <c r="M88" s="4" t="s">
        <v>15</v>
      </c>
      <c r="N88" s="4" t="s">
        <v>623</v>
      </c>
      <c r="O88" s="4" t="s">
        <v>625</v>
      </c>
      <c r="P88" s="5">
        <v>0.18</v>
      </c>
      <c r="Q88" s="14">
        <f>PMT($V$15/12,$V$18,-$V$14)</f>
        <v>12696.713713554542</v>
      </c>
      <c r="R88" s="4">
        <v>300000</v>
      </c>
      <c r="S88" s="2" t="s">
        <v>12</v>
      </c>
    </row>
    <row r="89" spans="1:28" x14ac:dyDescent="0.3">
      <c r="A89" s="4">
        <v>88</v>
      </c>
      <c r="B89" s="4" t="s">
        <v>108</v>
      </c>
      <c r="C89" s="4" t="s">
        <v>11</v>
      </c>
      <c r="D89" s="4" t="s">
        <v>12</v>
      </c>
      <c r="E89" s="4" t="s">
        <v>13</v>
      </c>
      <c r="F89" s="4" t="s">
        <v>12</v>
      </c>
      <c r="G89" s="4">
        <v>68000</v>
      </c>
      <c r="H89" s="4">
        <v>45200</v>
      </c>
      <c r="I89" s="13">
        <v>850000</v>
      </c>
      <c r="J89" s="4">
        <v>60</v>
      </c>
      <c r="K89" s="4">
        <v>1</v>
      </c>
      <c r="L89" s="4" t="s">
        <v>14</v>
      </c>
      <c r="M89" s="4" t="s">
        <v>15</v>
      </c>
      <c r="N89" s="4" t="s">
        <v>623</v>
      </c>
      <c r="O89" s="4" t="s">
        <v>625</v>
      </c>
      <c r="P89" s="5">
        <v>0.18</v>
      </c>
      <c r="Q89" s="14">
        <f>PMT($Y$39/12,$Y$42,-$Y$38)</f>
        <v>21584.413313042722</v>
      </c>
      <c r="R89" s="4">
        <v>550000</v>
      </c>
      <c r="S89" s="2" t="s">
        <v>12</v>
      </c>
    </row>
    <row r="90" spans="1:28" x14ac:dyDescent="0.3">
      <c r="A90" s="4">
        <v>89</v>
      </c>
      <c r="B90" s="4" t="s">
        <v>109</v>
      </c>
      <c r="C90" s="4" t="s">
        <v>11</v>
      </c>
      <c r="D90" s="4" t="s">
        <v>17</v>
      </c>
      <c r="E90" s="4" t="s">
        <v>13</v>
      </c>
      <c r="F90" s="4" t="s">
        <v>12</v>
      </c>
      <c r="G90" s="4">
        <v>54200</v>
      </c>
      <c r="H90" s="4">
        <v>0</v>
      </c>
      <c r="I90" s="13">
        <v>300000</v>
      </c>
      <c r="J90" s="4">
        <v>60</v>
      </c>
      <c r="K90" s="4">
        <v>1</v>
      </c>
      <c r="L90" s="4" t="s">
        <v>27</v>
      </c>
      <c r="M90" s="4" t="s">
        <v>15</v>
      </c>
      <c r="N90" s="4" t="s">
        <v>623</v>
      </c>
      <c r="O90" s="4" t="s">
        <v>625</v>
      </c>
      <c r="P90" s="5">
        <v>0.18</v>
      </c>
      <c r="Q90" s="14">
        <f>PMT($V$21/12,$V$24,-$V$20)</f>
        <v>7618.0282281327254</v>
      </c>
      <c r="R90" s="4">
        <v>400000</v>
      </c>
      <c r="S90" s="2" t="s">
        <v>12</v>
      </c>
    </row>
    <row r="91" spans="1:28" x14ac:dyDescent="0.3">
      <c r="A91" s="4">
        <v>90</v>
      </c>
      <c r="B91" s="4" t="s">
        <v>110</v>
      </c>
      <c r="C91" s="4" t="s">
        <v>11</v>
      </c>
      <c r="D91" s="4" t="s">
        <v>17</v>
      </c>
      <c r="E91" s="4" t="s">
        <v>13</v>
      </c>
      <c r="F91" s="4" t="s">
        <v>12</v>
      </c>
      <c r="G91" s="4">
        <v>85300</v>
      </c>
      <c r="H91" s="4">
        <v>0</v>
      </c>
      <c r="I91" s="13">
        <v>768000</v>
      </c>
      <c r="J91" s="4">
        <v>60</v>
      </c>
      <c r="K91" s="4">
        <v>1</v>
      </c>
      <c r="L91" s="4" t="s">
        <v>27</v>
      </c>
      <c r="M91" s="4" t="s">
        <v>15</v>
      </c>
      <c r="N91" s="4" t="s">
        <v>623</v>
      </c>
      <c r="O91" s="4" t="s">
        <v>625</v>
      </c>
      <c r="P91" s="5">
        <v>0.18</v>
      </c>
      <c r="Q91" s="14">
        <f>PMT($AB$3/12,$AB$6,-$AB$2)</f>
        <v>19502.152264019776</v>
      </c>
      <c r="R91" s="4">
        <v>750000</v>
      </c>
      <c r="S91" s="2" t="s">
        <v>12</v>
      </c>
    </row>
    <row r="92" spans="1:28" x14ac:dyDescent="0.3">
      <c r="A92" s="4">
        <v>91</v>
      </c>
      <c r="B92" s="4" t="s">
        <v>111</v>
      </c>
      <c r="C92" s="4" t="s">
        <v>11</v>
      </c>
      <c r="D92" s="4" t="s">
        <v>17</v>
      </c>
      <c r="E92" s="4" t="s">
        <v>13</v>
      </c>
      <c r="F92" s="4" t="s">
        <v>12</v>
      </c>
      <c r="G92" s="4">
        <v>54400</v>
      </c>
      <c r="H92" s="4">
        <v>45500</v>
      </c>
      <c r="I92" s="13">
        <v>680000</v>
      </c>
      <c r="J92" s="4">
        <v>60</v>
      </c>
      <c r="K92" s="4">
        <v>1</v>
      </c>
      <c r="L92" s="4" t="s">
        <v>27</v>
      </c>
      <c r="M92" s="4" t="s">
        <v>15</v>
      </c>
      <c r="N92" s="4" t="s">
        <v>623</v>
      </c>
      <c r="O92" s="4" t="s">
        <v>625</v>
      </c>
      <c r="P92" s="5">
        <v>0.18</v>
      </c>
      <c r="Q92" s="14">
        <f>PMT($AB$9/12,$AB$12,-$AB$8)</f>
        <v>17267.530650434179</v>
      </c>
      <c r="R92" s="4">
        <v>750000</v>
      </c>
      <c r="S92" s="2" t="s">
        <v>12</v>
      </c>
    </row>
    <row r="93" spans="1:28" x14ac:dyDescent="0.3">
      <c r="A93" s="4">
        <v>92</v>
      </c>
      <c r="B93" s="4" t="s">
        <v>112</v>
      </c>
      <c r="C93" s="4" t="s">
        <v>11</v>
      </c>
      <c r="D93" s="4" t="s">
        <v>17</v>
      </c>
      <c r="E93" s="4" t="s">
        <v>22</v>
      </c>
      <c r="F93" s="4" t="s">
        <v>12</v>
      </c>
      <c r="G93" s="4">
        <v>53000</v>
      </c>
      <c r="H93" s="4">
        <v>0</v>
      </c>
      <c r="I93" s="13">
        <v>620000</v>
      </c>
      <c r="J93" s="4">
        <v>60</v>
      </c>
      <c r="K93" s="4">
        <v>1</v>
      </c>
      <c r="L93" s="4" t="s">
        <v>14</v>
      </c>
      <c r="M93" s="4" t="s">
        <v>15</v>
      </c>
      <c r="N93" s="4" t="s">
        <v>623</v>
      </c>
      <c r="O93" s="4" t="s">
        <v>625</v>
      </c>
      <c r="P93" s="5">
        <v>0.18</v>
      </c>
      <c r="Q93" s="14">
        <f>PMT($AB$15/12,$AB$18,-$AB$14)</f>
        <v>15743.925004807632</v>
      </c>
      <c r="R93" s="4">
        <v>400000</v>
      </c>
      <c r="S93" s="2" t="s">
        <v>12</v>
      </c>
    </row>
    <row r="94" spans="1:28" x14ac:dyDescent="0.3">
      <c r="A94" s="4">
        <v>93</v>
      </c>
      <c r="B94" s="4" t="s">
        <v>113</v>
      </c>
      <c r="C94" s="4" t="s">
        <v>11</v>
      </c>
      <c r="D94" s="4" t="s">
        <v>12</v>
      </c>
      <c r="E94" s="4" t="s">
        <v>13</v>
      </c>
      <c r="F94" s="4" t="s">
        <v>12</v>
      </c>
      <c r="G94" s="4">
        <v>84200</v>
      </c>
      <c r="H94" s="4">
        <v>77000</v>
      </c>
      <c r="I94" s="13">
        <v>952000</v>
      </c>
      <c r="J94" s="4">
        <v>60</v>
      </c>
      <c r="K94" s="4">
        <v>1</v>
      </c>
      <c r="L94" s="4" t="s">
        <v>27</v>
      </c>
      <c r="M94" s="4" t="s">
        <v>15</v>
      </c>
      <c r="N94" s="4" t="s">
        <v>623</v>
      </c>
      <c r="O94" s="4" t="s">
        <v>625</v>
      </c>
      <c r="P94" s="5">
        <v>0.18</v>
      </c>
      <c r="Q94" s="14">
        <f>PMT($AB$21/12,$AB$24,-$AB$20)</f>
        <v>24174.542910607848</v>
      </c>
      <c r="R94" s="4">
        <v>1000000</v>
      </c>
      <c r="S94" s="2" t="s">
        <v>12</v>
      </c>
    </row>
    <row r="95" spans="1:28" x14ac:dyDescent="0.3">
      <c r="A95" s="4">
        <v>94</v>
      </c>
      <c r="B95" s="4" t="s">
        <v>114</v>
      </c>
      <c r="C95" s="4" t="s">
        <v>11</v>
      </c>
      <c r="D95" s="4" t="s">
        <v>12</v>
      </c>
      <c r="E95" s="4" t="s">
        <v>22</v>
      </c>
      <c r="F95" s="4" t="s">
        <v>12</v>
      </c>
      <c r="G95" s="4">
        <v>45000</v>
      </c>
      <c r="H95" s="4">
        <v>44000</v>
      </c>
      <c r="I95" s="13">
        <v>840000</v>
      </c>
      <c r="J95" s="4">
        <v>60</v>
      </c>
      <c r="K95" s="4">
        <v>1</v>
      </c>
      <c r="L95" s="4" t="s">
        <v>27</v>
      </c>
      <c r="M95" s="4" t="s">
        <v>15</v>
      </c>
      <c r="N95" s="4" t="s">
        <v>623</v>
      </c>
      <c r="O95" s="4" t="s">
        <v>625</v>
      </c>
      <c r="P95" s="5">
        <v>0.18</v>
      </c>
      <c r="Q95" s="14">
        <f>PMT($AB$27/12,$AB$30,-$AB$26)</f>
        <v>21330.479038771631</v>
      </c>
      <c r="R95" s="4">
        <v>600000</v>
      </c>
      <c r="S95" s="2" t="s">
        <v>12</v>
      </c>
    </row>
    <row r="96" spans="1:28" x14ac:dyDescent="0.3">
      <c r="A96" s="4">
        <v>95</v>
      </c>
      <c r="B96" s="4" t="s">
        <v>115</v>
      </c>
      <c r="C96" s="4" t="s">
        <v>11</v>
      </c>
      <c r="D96" s="4" t="s">
        <v>12</v>
      </c>
      <c r="E96" s="4" t="s">
        <v>13</v>
      </c>
      <c r="F96" s="4" t="s">
        <v>17</v>
      </c>
      <c r="G96" s="4">
        <v>54000</v>
      </c>
      <c r="H96" s="4">
        <v>0</v>
      </c>
      <c r="I96" s="13">
        <v>550000</v>
      </c>
      <c r="J96" s="4">
        <v>60</v>
      </c>
      <c r="K96" s="4">
        <v>0</v>
      </c>
      <c r="L96" s="4" t="s">
        <v>14</v>
      </c>
      <c r="M96" s="4" t="s">
        <v>19</v>
      </c>
      <c r="N96" s="4" t="s">
        <v>623</v>
      </c>
      <c r="O96" s="4" t="s">
        <v>625</v>
      </c>
      <c r="P96" s="5">
        <v>0.18</v>
      </c>
      <c r="Q96" s="14">
        <f>PMT($AB$33/12,$AB$36,-$AB$32)</f>
        <v>13966.385084909996</v>
      </c>
      <c r="R96" s="4">
        <v>400000</v>
      </c>
      <c r="S96" s="2" t="s">
        <v>12</v>
      </c>
    </row>
    <row r="97" spans="1:19" x14ac:dyDescent="0.3">
      <c r="A97" s="4">
        <v>96</v>
      </c>
      <c r="B97" s="4" t="s">
        <v>116</v>
      </c>
      <c r="C97" s="4" t="s">
        <v>38</v>
      </c>
      <c r="D97" s="4" t="s">
        <v>17</v>
      </c>
      <c r="E97" s="4" t="s">
        <v>13</v>
      </c>
      <c r="F97" s="4" t="s">
        <v>12</v>
      </c>
      <c r="G97" s="4">
        <v>87000</v>
      </c>
      <c r="H97" s="4">
        <v>0</v>
      </c>
      <c r="I97" s="13">
        <v>1000000</v>
      </c>
      <c r="J97" s="4">
        <v>60</v>
      </c>
      <c r="K97" s="4">
        <v>1</v>
      </c>
      <c r="L97" s="4" t="s">
        <v>27</v>
      </c>
      <c r="M97" s="4" t="s">
        <v>15</v>
      </c>
      <c r="N97" s="4" t="s">
        <v>623</v>
      </c>
      <c r="O97" s="4" t="s">
        <v>625</v>
      </c>
      <c r="P97" s="5">
        <v>0.18</v>
      </c>
      <c r="Q97" s="14">
        <f>PMT($V$3/12,$V$6,-$V$2)</f>
        <v>25393.427427109084</v>
      </c>
      <c r="R97" s="4">
        <v>500000</v>
      </c>
      <c r="S97" s="2" t="s">
        <v>17</v>
      </c>
    </row>
    <row r="98" spans="1:19" x14ac:dyDescent="0.3">
      <c r="A98" s="4">
        <v>97</v>
      </c>
      <c r="B98" s="4" t="s">
        <v>117</v>
      </c>
      <c r="C98" s="4" t="s">
        <v>11</v>
      </c>
      <c r="D98" s="4" t="s">
        <v>17</v>
      </c>
      <c r="E98" s="4" t="s">
        <v>13</v>
      </c>
      <c r="F98" s="4" t="s">
        <v>12</v>
      </c>
      <c r="G98" s="4">
        <v>24601</v>
      </c>
      <c r="H98" s="4">
        <v>0</v>
      </c>
      <c r="I98" s="13">
        <v>423601</v>
      </c>
      <c r="J98" s="4">
        <v>60</v>
      </c>
      <c r="K98" s="4">
        <v>1</v>
      </c>
      <c r="L98" s="4" t="s">
        <v>27</v>
      </c>
      <c r="M98" s="4" t="s">
        <v>15</v>
      </c>
      <c r="N98" s="4" t="s">
        <v>623</v>
      </c>
      <c r="O98" s="4" t="s">
        <v>625</v>
      </c>
      <c r="P98" s="5">
        <v>0.18</v>
      </c>
      <c r="Q98" s="14">
        <f>PMT($AB$39/12,$AB$42,-$AB$38)</f>
        <v>10756.681251550835</v>
      </c>
      <c r="R98" s="4" t="s">
        <v>635</v>
      </c>
      <c r="S98" s="2" t="s">
        <v>12</v>
      </c>
    </row>
    <row r="99" spans="1:19" x14ac:dyDescent="0.3">
      <c r="A99" s="4">
        <v>98</v>
      </c>
      <c r="B99" s="4" t="s">
        <v>118</v>
      </c>
      <c r="C99" s="4" t="s">
        <v>11</v>
      </c>
      <c r="D99" s="4" t="s">
        <v>17</v>
      </c>
      <c r="E99" s="4" t="s">
        <v>22</v>
      </c>
      <c r="F99" s="4" t="s">
        <v>12</v>
      </c>
      <c r="G99" s="4">
        <v>75000</v>
      </c>
      <c r="H99" s="4">
        <v>0</v>
      </c>
      <c r="I99" s="13">
        <v>358000</v>
      </c>
      <c r="J99" s="4">
        <v>60</v>
      </c>
      <c r="K99" s="4">
        <v>1</v>
      </c>
      <c r="L99" s="4" t="s">
        <v>27</v>
      </c>
      <c r="M99" s="4" t="s">
        <v>15</v>
      </c>
      <c r="N99" s="4" t="s">
        <v>623</v>
      </c>
      <c r="O99" s="4" t="s">
        <v>625</v>
      </c>
      <c r="P99" s="5">
        <v>0.18</v>
      </c>
      <c r="Q99" s="14">
        <f>PMT($AB$45/12,$AB$48,-$AB$44)</f>
        <v>9090.8470189050531</v>
      </c>
      <c r="R99" s="4">
        <v>650000</v>
      </c>
      <c r="S99" s="2" t="s">
        <v>17</v>
      </c>
    </row>
    <row r="100" spans="1:19" x14ac:dyDescent="0.3">
      <c r="A100" s="4">
        <v>99</v>
      </c>
      <c r="B100" s="4" t="s">
        <v>119</v>
      </c>
      <c r="C100" s="4" t="s">
        <v>11</v>
      </c>
      <c r="D100" s="4" t="s">
        <v>17</v>
      </c>
      <c r="E100" s="4" t="s">
        <v>13</v>
      </c>
      <c r="F100" s="4" t="s">
        <v>12</v>
      </c>
      <c r="G100" s="4">
        <v>69700</v>
      </c>
      <c r="H100" s="4">
        <v>0</v>
      </c>
      <c r="I100" s="13">
        <v>587000</v>
      </c>
      <c r="J100" s="4">
        <v>60</v>
      </c>
      <c r="K100" s="4">
        <v>1</v>
      </c>
      <c r="L100" s="4" t="s">
        <v>27</v>
      </c>
      <c r="M100" s="4" t="s">
        <v>15</v>
      </c>
      <c r="N100" s="4" t="s">
        <v>623</v>
      </c>
      <c r="O100" s="4" t="s">
        <v>625</v>
      </c>
      <c r="P100" s="5">
        <v>0.18</v>
      </c>
      <c r="Q100" s="14">
        <f>PMT($AB$51/12,$AB$54,-$AB$50)</f>
        <v>14905.941899713032</v>
      </c>
      <c r="R100" s="4">
        <v>740000</v>
      </c>
      <c r="S100" s="2" t="s">
        <v>12</v>
      </c>
    </row>
    <row r="101" spans="1:19" x14ac:dyDescent="0.3">
      <c r="A101" s="4">
        <v>100</v>
      </c>
      <c r="B101" s="4" t="s">
        <v>120</v>
      </c>
      <c r="C101" s="4" t="s">
        <v>11</v>
      </c>
      <c r="D101" s="4" t="s">
        <v>17</v>
      </c>
      <c r="E101" s="4" t="s">
        <v>22</v>
      </c>
      <c r="F101" s="4" t="s">
        <v>12</v>
      </c>
      <c r="G101" s="4">
        <v>52400</v>
      </c>
      <c r="H101" s="4">
        <v>48733</v>
      </c>
      <c r="I101" s="13">
        <v>789000</v>
      </c>
      <c r="J101" s="4">
        <v>60</v>
      </c>
      <c r="K101" s="4">
        <v>1</v>
      </c>
      <c r="L101" s="4" t="s">
        <v>14</v>
      </c>
      <c r="M101" s="4" t="s">
        <v>15</v>
      </c>
      <c r="N101" s="4" t="s">
        <v>623</v>
      </c>
      <c r="O101" s="4" t="s">
        <v>625</v>
      </c>
      <c r="P101" s="5">
        <v>0.18</v>
      </c>
      <c r="Q101" s="14">
        <f>PMT($V$45/12,$V$48,-$V$44)</f>
        <v>20035.414239989066</v>
      </c>
      <c r="R101" s="4">
        <v>800000</v>
      </c>
      <c r="S101" s="2" t="s">
        <v>17</v>
      </c>
    </row>
    <row r="102" spans="1:19" x14ac:dyDescent="0.3">
      <c r="A102" s="4">
        <v>101</v>
      </c>
      <c r="B102" s="4" t="s">
        <v>121</v>
      </c>
      <c r="C102" s="4" t="s">
        <v>11</v>
      </c>
      <c r="D102" s="4" t="s">
        <v>12</v>
      </c>
      <c r="E102" s="4" t="s">
        <v>13</v>
      </c>
      <c r="F102" s="4" t="s">
        <v>12</v>
      </c>
      <c r="G102" s="4">
        <v>47860</v>
      </c>
      <c r="H102" s="4">
        <v>24970</v>
      </c>
      <c r="I102" s="13">
        <v>975000</v>
      </c>
      <c r="J102" s="4">
        <v>60</v>
      </c>
      <c r="K102" s="4">
        <v>1</v>
      </c>
      <c r="L102" s="4" t="s">
        <v>27</v>
      </c>
      <c r="M102" s="4" t="s">
        <v>15</v>
      </c>
      <c r="N102" s="4" t="s">
        <v>623</v>
      </c>
      <c r="O102" s="4" t="s">
        <v>625</v>
      </c>
      <c r="P102" s="5">
        <v>0.18</v>
      </c>
      <c r="Q102" s="14">
        <f>PMT($Y$45/12,$Y$48,-$Y$44)</f>
        <v>24758.591741431355</v>
      </c>
      <c r="R102" s="4">
        <v>560000</v>
      </c>
      <c r="S102" s="2" t="s">
        <v>12</v>
      </c>
    </row>
    <row r="103" spans="1:19" x14ac:dyDescent="0.3">
      <c r="A103" s="4">
        <v>102</v>
      </c>
      <c r="B103" s="4" t="s">
        <v>122</v>
      </c>
      <c r="C103" s="4" t="s">
        <v>11</v>
      </c>
      <c r="D103" s="4" t="s">
        <v>17</v>
      </c>
      <c r="E103" s="4" t="s">
        <v>13</v>
      </c>
      <c r="F103" s="4" t="s">
        <v>12</v>
      </c>
      <c r="G103" s="4">
        <v>56980</v>
      </c>
      <c r="H103" s="4">
        <v>25600</v>
      </c>
      <c r="I103" s="13">
        <v>849300</v>
      </c>
      <c r="J103" s="4">
        <v>60</v>
      </c>
      <c r="K103" s="4">
        <v>1</v>
      </c>
      <c r="L103" s="4" t="s">
        <v>14</v>
      </c>
      <c r="M103" s="4" t="s">
        <v>15</v>
      </c>
      <c r="N103" s="4" t="s">
        <v>623</v>
      </c>
      <c r="O103" s="4" t="s">
        <v>625</v>
      </c>
      <c r="P103" s="5">
        <v>0.18</v>
      </c>
      <c r="Q103" s="14">
        <f>PMT($V$51/12,$V$54,-$V$50)</f>
        <v>21566.637913843744</v>
      </c>
      <c r="R103" s="4">
        <v>540000</v>
      </c>
      <c r="S103" s="2" t="s">
        <v>12</v>
      </c>
    </row>
    <row r="104" spans="1:19" x14ac:dyDescent="0.3">
      <c r="A104" s="4">
        <v>103</v>
      </c>
      <c r="B104" s="4" t="s">
        <v>123</v>
      </c>
      <c r="C104" s="4" t="s">
        <v>11</v>
      </c>
      <c r="D104" s="4" t="s">
        <v>17</v>
      </c>
      <c r="E104" s="4" t="s">
        <v>13</v>
      </c>
      <c r="F104" s="4" t="s">
        <v>12</v>
      </c>
      <c r="G104" s="4">
        <v>49800</v>
      </c>
      <c r="H104" s="4">
        <v>0</v>
      </c>
      <c r="I104" s="13">
        <v>487500</v>
      </c>
      <c r="J104" s="4">
        <v>60</v>
      </c>
      <c r="K104" s="4">
        <v>1</v>
      </c>
      <c r="L104" s="4" t="s">
        <v>27</v>
      </c>
      <c r="M104" s="4" t="s">
        <v>15</v>
      </c>
      <c r="N104" s="4" t="s">
        <v>623</v>
      </c>
      <c r="O104" s="4" t="s">
        <v>625</v>
      </c>
      <c r="P104" s="5">
        <v>0.18</v>
      </c>
      <c r="Q104" s="14">
        <f>PMT($Y$51/12,$Y$54,-$Y$50)</f>
        <v>12379.295870715678</v>
      </c>
      <c r="R104" s="4">
        <v>350000</v>
      </c>
      <c r="S104" s="2" t="s">
        <v>12</v>
      </c>
    </row>
    <row r="105" spans="1:19" x14ac:dyDescent="0.3">
      <c r="A105" s="4">
        <v>104</v>
      </c>
      <c r="B105" s="4" t="s">
        <v>124</v>
      </c>
      <c r="C105" s="4" t="s">
        <v>11</v>
      </c>
      <c r="D105" s="4" t="s">
        <v>17</v>
      </c>
      <c r="E105" s="4" t="s">
        <v>13</v>
      </c>
      <c r="F105" s="4" t="s">
        <v>12</v>
      </c>
      <c r="G105" s="4">
        <v>58799</v>
      </c>
      <c r="H105" s="4">
        <v>26870</v>
      </c>
      <c r="I105" s="13">
        <v>875644</v>
      </c>
      <c r="J105" s="4">
        <v>60</v>
      </c>
      <c r="K105" s="4">
        <v>1</v>
      </c>
      <c r="L105" s="4" t="s">
        <v>14</v>
      </c>
      <c r="M105" s="4" t="s">
        <v>15</v>
      </c>
      <c r="N105" s="4" t="s">
        <v>623</v>
      </c>
      <c r="O105" s="4" t="s">
        <v>625</v>
      </c>
      <c r="P105" s="5">
        <v>0.18</v>
      </c>
      <c r="Q105" s="14">
        <f>PMT($V$57/12,$V$60,-$V$56)</f>
        <v>22235.602365983505</v>
      </c>
      <c r="R105" s="4">
        <v>600000</v>
      </c>
      <c r="S105" s="2" t="s">
        <v>12</v>
      </c>
    </row>
    <row r="106" spans="1:19" x14ac:dyDescent="0.3">
      <c r="A106" s="4">
        <v>105</v>
      </c>
      <c r="B106" s="4" t="s">
        <v>125</v>
      </c>
      <c r="C106" s="4" t="s">
        <v>11</v>
      </c>
      <c r="D106" s="4" t="s">
        <v>17</v>
      </c>
      <c r="E106" s="4" t="s">
        <v>13</v>
      </c>
      <c r="F106" s="4" t="s">
        <v>12</v>
      </c>
      <c r="G106" s="4">
        <v>48799</v>
      </c>
      <c r="H106" s="4">
        <v>34690</v>
      </c>
      <c r="I106" s="13">
        <v>654420</v>
      </c>
      <c r="J106" s="4">
        <v>60</v>
      </c>
      <c r="K106" s="4">
        <v>1</v>
      </c>
      <c r="L106" s="4" t="s">
        <v>14</v>
      </c>
      <c r="M106" s="4" t="s">
        <v>15</v>
      </c>
      <c r="N106" s="4" t="s">
        <v>623</v>
      </c>
      <c r="O106" s="4" t="s">
        <v>625</v>
      </c>
      <c r="P106" s="5">
        <v>0.18</v>
      </c>
      <c r="Q106" s="14">
        <f>PMT($Y$57/12,$Y$60,-$Y$56)</f>
        <v>16617.966776848727</v>
      </c>
      <c r="R106" s="4">
        <v>600000</v>
      </c>
      <c r="S106" s="2" t="s">
        <v>17</v>
      </c>
    </row>
    <row r="107" spans="1:19" x14ac:dyDescent="0.3">
      <c r="A107" s="4">
        <v>106</v>
      </c>
      <c r="B107" s="4" t="s">
        <v>126</v>
      </c>
      <c r="C107" s="4" t="s">
        <v>11</v>
      </c>
      <c r="D107" s="4" t="s">
        <v>12</v>
      </c>
      <c r="E107" s="4" t="s">
        <v>22</v>
      </c>
      <c r="F107" s="4" t="s">
        <v>17</v>
      </c>
      <c r="G107" s="4">
        <v>35000</v>
      </c>
      <c r="H107" s="4">
        <v>48700</v>
      </c>
      <c r="I107" s="13">
        <v>800000</v>
      </c>
      <c r="J107" s="4">
        <v>60</v>
      </c>
      <c r="K107" s="4">
        <v>1</v>
      </c>
      <c r="L107" s="4" t="s">
        <v>18</v>
      </c>
      <c r="M107" s="4" t="s">
        <v>19</v>
      </c>
      <c r="N107" s="4" t="s">
        <v>623</v>
      </c>
      <c r="O107" s="4" t="s">
        <v>625</v>
      </c>
      <c r="P107" s="5">
        <v>0.18</v>
      </c>
      <c r="Q107" s="14">
        <f>PMT($V$33/12,$V$36,-$V$32)</f>
        <v>20314.741941687265</v>
      </c>
      <c r="R107" s="4">
        <v>420000</v>
      </c>
      <c r="S107" s="2" t="s">
        <v>12</v>
      </c>
    </row>
    <row r="108" spans="1:19" x14ac:dyDescent="0.3">
      <c r="A108" s="4">
        <v>107</v>
      </c>
      <c r="B108" s="4" t="s">
        <v>127</v>
      </c>
      <c r="C108" s="4" t="s">
        <v>11</v>
      </c>
      <c r="D108" s="4" t="s">
        <v>17</v>
      </c>
      <c r="E108" s="4" t="s">
        <v>13</v>
      </c>
      <c r="F108" s="4" t="s">
        <v>12</v>
      </c>
      <c r="G108" s="4">
        <v>35000</v>
      </c>
      <c r="H108" s="4">
        <v>0</v>
      </c>
      <c r="I108" s="13">
        <v>620000</v>
      </c>
      <c r="J108" s="4">
        <v>60</v>
      </c>
      <c r="K108" s="4">
        <v>0</v>
      </c>
      <c r="L108" s="4" t="s">
        <v>14</v>
      </c>
      <c r="M108" s="4" t="s">
        <v>19</v>
      </c>
      <c r="N108" s="4" t="s">
        <v>623</v>
      </c>
      <c r="O108" s="4" t="s">
        <v>625</v>
      </c>
      <c r="P108" s="5">
        <v>0.18</v>
      </c>
      <c r="Q108" s="14">
        <f>PMT($AB$15/12,$AB$18,-$AB$14)</f>
        <v>15743.925004807632</v>
      </c>
      <c r="R108" s="4">
        <v>40000</v>
      </c>
      <c r="S108" s="2" t="s">
        <v>12</v>
      </c>
    </row>
    <row r="109" spans="1:19" x14ac:dyDescent="0.3">
      <c r="A109" s="4">
        <v>108</v>
      </c>
      <c r="B109" s="4" t="s">
        <v>128</v>
      </c>
      <c r="C109" s="4" t="s">
        <v>11</v>
      </c>
      <c r="D109" s="4" t="s">
        <v>17</v>
      </c>
      <c r="E109" s="4" t="s">
        <v>22</v>
      </c>
      <c r="F109" s="4" t="s">
        <v>12</v>
      </c>
      <c r="G109" s="4">
        <v>21654</v>
      </c>
      <c r="H109" s="4">
        <v>14620</v>
      </c>
      <c r="I109" s="13">
        <v>489300</v>
      </c>
      <c r="J109" s="4">
        <v>60</v>
      </c>
      <c r="K109" s="4">
        <v>1</v>
      </c>
      <c r="L109" s="4" t="s">
        <v>27</v>
      </c>
      <c r="M109" s="4" t="s">
        <v>15</v>
      </c>
      <c r="N109" s="4" t="s">
        <v>623</v>
      </c>
      <c r="O109" s="4" t="s">
        <v>625</v>
      </c>
      <c r="P109" s="5">
        <v>0.18</v>
      </c>
      <c r="Q109" s="14">
        <f>PMT($AB$57/12,$AB$60,-$AB$56)</f>
        <v>12425.004040084474</v>
      </c>
      <c r="R109" s="4">
        <v>250000</v>
      </c>
      <c r="S109" s="2" t="s">
        <v>12</v>
      </c>
    </row>
    <row r="110" spans="1:19" x14ac:dyDescent="0.3">
      <c r="A110" s="4">
        <v>109</v>
      </c>
      <c r="B110" s="4" t="s">
        <v>129</v>
      </c>
      <c r="C110" s="4" t="s">
        <v>11</v>
      </c>
      <c r="D110" s="4" t="s">
        <v>12</v>
      </c>
      <c r="E110" s="4" t="s">
        <v>13</v>
      </c>
      <c r="F110" s="4" t="s">
        <v>12</v>
      </c>
      <c r="G110" s="4">
        <v>25000</v>
      </c>
      <c r="H110" s="4">
        <v>0</v>
      </c>
      <c r="I110" s="13">
        <v>500000</v>
      </c>
      <c r="J110" s="4">
        <v>60</v>
      </c>
      <c r="K110" s="4">
        <v>1</v>
      </c>
      <c r="L110" s="4" t="s">
        <v>14</v>
      </c>
      <c r="M110" s="4" t="s">
        <v>15</v>
      </c>
      <c r="N110" s="4" t="s">
        <v>623</v>
      </c>
      <c r="O110" s="4" t="s">
        <v>625</v>
      </c>
      <c r="P110" s="5">
        <v>0.18</v>
      </c>
      <c r="Q110" s="14">
        <f>PMT($V$15/12,$V$18,-$V$14)</f>
        <v>12696.713713554542</v>
      </c>
      <c r="R110" s="4">
        <v>200000</v>
      </c>
      <c r="S110" s="2" t="s">
        <v>12</v>
      </c>
    </row>
    <row r="111" spans="1:19" x14ac:dyDescent="0.3">
      <c r="A111" s="4">
        <v>110</v>
      </c>
      <c r="B111" s="4" t="s">
        <v>130</v>
      </c>
      <c r="C111" s="4" t="s">
        <v>38</v>
      </c>
      <c r="D111" s="4" t="s">
        <v>17</v>
      </c>
      <c r="E111" s="4" t="s">
        <v>13</v>
      </c>
      <c r="F111" s="4" t="s">
        <v>17</v>
      </c>
      <c r="G111" s="4">
        <v>35700</v>
      </c>
      <c r="H111" s="4">
        <v>0</v>
      </c>
      <c r="I111" s="13">
        <v>478000</v>
      </c>
      <c r="J111" s="4">
        <v>60</v>
      </c>
      <c r="K111" s="4">
        <v>1</v>
      </c>
      <c r="L111" s="4" t="s">
        <v>27</v>
      </c>
      <c r="M111" s="4" t="s">
        <v>15</v>
      </c>
      <c r="N111" s="4" t="s">
        <v>623</v>
      </c>
      <c r="O111" s="4" t="s">
        <v>625</v>
      </c>
      <c r="P111" s="5">
        <v>0.18</v>
      </c>
      <c r="Q111" s="14">
        <f>PMT($V$63/12,$V$66,-$V$62)</f>
        <v>12138.058310158141</v>
      </c>
      <c r="R111" s="4">
        <v>350000</v>
      </c>
      <c r="S111" s="2" t="s">
        <v>12</v>
      </c>
    </row>
    <row r="112" spans="1:19" x14ac:dyDescent="0.3">
      <c r="A112" s="4">
        <v>111</v>
      </c>
      <c r="B112" s="4" t="s">
        <v>131</v>
      </c>
      <c r="C112" s="4" t="s">
        <v>11</v>
      </c>
      <c r="D112" s="4" t="s">
        <v>17</v>
      </c>
      <c r="E112" s="4" t="s">
        <v>22</v>
      </c>
      <c r="F112" s="4" t="s">
        <v>12</v>
      </c>
      <c r="G112" s="4">
        <v>48550</v>
      </c>
      <c r="H112" s="4">
        <v>54800</v>
      </c>
      <c r="I112" s="13">
        <v>748890</v>
      </c>
      <c r="J112" s="4">
        <v>60</v>
      </c>
      <c r="K112" s="4">
        <v>0</v>
      </c>
      <c r="L112" s="4" t="s">
        <v>18</v>
      </c>
      <c r="M112" s="4" t="s">
        <v>19</v>
      </c>
      <c r="N112" s="4" t="s">
        <v>623</v>
      </c>
      <c r="O112" s="4" t="s">
        <v>625</v>
      </c>
      <c r="P112" s="5">
        <v>0.18</v>
      </c>
      <c r="Q112" s="14">
        <f>PMT($Y$63/12,$Y$66,-$Y$62)</f>
        <v>19016.883865887721</v>
      </c>
      <c r="R112" s="4">
        <v>800000</v>
      </c>
      <c r="S112" s="2" t="s">
        <v>17</v>
      </c>
    </row>
    <row r="113" spans="1:19" x14ac:dyDescent="0.3">
      <c r="A113" s="4">
        <v>112</v>
      </c>
      <c r="B113" s="4" t="s">
        <v>132</v>
      </c>
      <c r="C113" s="4" t="s">
        <v>38</v>
      </c>
      <c r="D113" s="4" t="s">
        <v>12</v>
      </c>
      <c r="E113" s="4" t="s">
        <v>13</v>
      </c>
      <c r="F113" s="4" t="s">
        <v>17</v>
      </c>
      <c r="G113" s="4">
        <v>150000</v>
      </c>
      <c r="H113" s="4">
        <v>0</v>
      </c>
      <c r="I113" s="13">
        <v>1500000</v>
      </c>
      <c r="J113" s="4">
        <v>60</v>
      </c>
      <c r="K113" s="4">
        <v>1</v>
      </c>
      <c r="L113" s="4" t="s">
        <v>27</v>
      </c>
      <c r="M113" s="4" t="s">
        <v>15</v>
      </c>
      <c r="N113" s="4" t="s">
        <v>623</v>
      </c>
      <c r="O113" s="4" t="s">
        <v>625</v>
      </c>
      <c r="P113" s="5">
        <v>0.18</v>
      </c>
      <c r="Q113" s="14">
        <f>PMT($V$9/12,$V$12,-$V$8)</f>
        <v>38090.141140663625</v>
      </c>
      <c r="R113" s="4">
        <v>900000</v>
      </c>
      <c r="S113" s="2" t="s">
        <v>12</v>
      </c>
    </row>
    <row r="114" spans="1:19" x14ac:dyDescent="0.3">
      <c r="A114" s="4">
        <v>113</v>
      </c>
      <c r="B114" s="4" t="s">
        <v>133</v>
      </c>
      <c r="C114" s="4" t="s">
        <v>11</v>
      </c>
      <c r="D114" s="4" t="s">
        <v>12</v>
      </c>
      <c r="E114" s="4" t="s">
        <v>13</v>
      </c>
      <c r="F114" s="4" t="s">
        <v>17</v>
      </c>
      <c r="G114" s="4">
        <v>50000</v>
      </c>
      <c r="H114" s="4">
        <v>0</v>
      </c>
      <c r="I114" s="13">
        <v>1000000</v>
      </c>
      <c r="J114" s="4">
        <v>60</v>
      </c>
      <c r="K114" s="4">
        <v>1</v>
      </c>
      <c r="L114" s="4" t="s">
        <v>27</v>
      </c>
      <c r="M114" s="4" t="s">
        <v>15</v>
      </c>
      <c r="N114" s="4" t="s">
        <v>623</v>
      </c>
      <c r="O114" s="4" t="s">
        <v>625</v>
      </c>
      <c r="P114" s="5">
        <v>0.18</v>
      </c>
      <c r="Q114" s="14">
        <f>PMT($V$3/12,$V$6,-$V$2)</f>
        <v>25393.427427109084</v>
      </c>
      <c r="R114" s="4">
        <v>450000</v>
      </c>
      <c r="S114" s="2" t="s">
        <v>12</v>
      </c>
    </row>
    <row r="115" spans="1:19" x14ac:dyDescent="0.3">
      <c r="A115" s="4">
        <v>114</v>
      </c>
      <c r="B115" s="4" t="s">
        <v>134</v>
      </c>
      <c r="C115" s="4" t="s">
        <v>11</v>
      </c>
      <c r="D115" s="4" t="s">
        <v>17</v>
      </c>
      <c r="E115" s="4" t="s">
        <v>13</v>
      </c>
      <c r="F115" s="4" t="s">
        <v>12</v>
      </c>
      <c r="G115" s="4">
        <v>100000</v>
      </c>
      <c r="H115" s="4">
        <v>35000</v>
      </c>
      <c r="I115" s="13">
        <v>1500000</v>
      </c>
      <c r="J115" s="4">
        <v>60</v>
      </c>
      <c r="K115" s="4">
        <v>1</v>
      </c>
      <c r="L115" s="4" t="s">
        <v>18</v>
      </c>
      <c r="M115" s="4" t="s">
        <v>15</v>
      </c>
      <c r="N115" s="4" t="s">
        <v>623</v>
      </c>
      <c r="O115" s="4" t="s">
        <v>625</v>
      </c>
      <c r="P115" s="5">
        <v>0.18</v>
      </c>
      <c r="Q115" s="14">
        <f t="shared" ref="Q115:Q116" si="5">PMT($V$9/12,$V$12,-$V$8)</f>
        <v>38090.141140663625</v>
      </c>
      <c r="R115" s="4">
        <v>950000</v>
      </c>
      <c r="S115" s="2" t="s">
        <v>17</v>
      </c>
    </row>
    <row r="116" spans="1:19" x14ac:dyDescent="0.3">
      <c r="A116" s="4">
        <v>115</v>
      </c>
      <c r="B116" s="4" t="s">
        <v>135</v>
      </c>
      <c r="C116" s="4" t="s">
        <v>38</v>
      </c>
      <c r="D116" s="4" t="s">
        <v>17</v>
      </c>
      <c r="E116" s="4" t="s">
        <v>13</v>
      </c>
      <c r="F116" s="4" t="s">
        <v>12</v>
      </c>
      <c r="G116" s="4">
        <v>80000</v>
      </c>
      <c r="H116" s="4">
        <v>0</v>
      </c>
      <c r="I116" s="13">
        <v>1500000</v>
      </c>
      <c r="J116" s="4">
        <v>60</v>
      </c>
      <c r="K116" s="4">
        <v>1</v>
      </c>
      <c r="L116" s="4" t="s">
        <v>27</v>
      </c>
      <c r="M116" s="4" t="s">
        <v>15</v>
      </c>
      <c r="N116" s="4" t="s">
        <v>623</v>
      </c>
      <c r="O116" s="4" t="s">
        <v>625</v>
      </c>
      <c r="P116" s="5">
        <v>0.18</v>
      </c>
      <c r="Q116" s="14">
        <f t="shared" si="5"/>
        <v>38090.141140663625</v>
      </c>
      <c r="R116" s="4">
        <v>660000</v>
      </c>
      <c r="S116" s="2" t="s">
        <v>12</v>
      </c>
    </row>
    <row r="117" spans="1:19" x14ac:dyDescent="0.3">
      <c r="A117" s="4">
        <v>116</v>
      </c>
      <c r="B117" s="4" t="s">
        <v>136</v>
      </c>
      <c r="C117" s="4" t="s">
        <v>11</v>
      </c>
      <c r="D117" s="4" t="s">
        <v>17</v>
      </c>
      <c r="E117" s="4" t="s">
        <v>13</v>
      </c>
      <c r="F117" s="4" t="s">
        <v>12</v>
      </c>
      <c r="G117" s="4">
        <v>50000</v>
      </c>
      <c r="H117" s="4">
        <v>0</v>
      </c>
      <c r="I117" s="13">
        <v>500000</v>
      </c>
      <c r="J117" s="4">
        <v>60</v>
      </c>
      <c r="K117" s="4">
        <v>0</v>
      </c>
      <c r="L117" s="4" t="s">
        <v>14</v>
      </c>
      <c r="M117" s="4" t="s">
        <v>15</v>
      </c>
      <c r="N117" s="4" t="s">
        <v>623</v>
      </c>
      <c r="O117" s="4" t="s">
        <v>625</v>
      </c>
      <c r="P117" s="5">
        <v>0.18</v>
      </c>
      <c r="Q117" s="14">
        <f>PMT($V$15/12,$V$18,-$V$14)</f>
        <v>12696.713713554542</v>
      </c>
      <c r="R117" s="4">
        <v>400000</v>
      </c>
      <c r="S117" s="2" t="s">
        <v>12</v>
      </c>
    </row>
    <row r="118" spans="1:19" x14ac:dyDescent="0.3">
      <c r="A118" s="4">
        <v>117</v>
      </c>
      <c r="B118" s="4" t="s">
        <v>137</v>
      </c>
      <c r="C118" s="4" t="s">
        <v>11</v>
      </c>
      <c r="D118" s="4" t="s">
        <v>17</v>
      </c>
      <c r="E118" s="4" t="s">
        <v>13</v>
      </c>
      <c r="F118" s="4" t="s">
        <v>12</v>
      </c>
      <c r="G118" s="4">
        <v>200000</v>
      </c>
      <c r="H118" s="4">
        <v>50000</v>
      </c>
      <c r="I118" s="13">
        <v>3000000</v>
      </c>
      <c r="J118" s="4">
        <v>60</v>
      </c>
      <c r="K118" s="4">
        <v>1</v>
      </c>
      <c r="L118" s="4" t="s">
        <v>18</v>
      </c>
      <c r="M118" s="4" t="s">
        <v>19</v>
      </c>
      <c r="N118" s="4" t="s">
        <v>623</v>
      </c>
      <c r="O118" s="4" t="s">
        <v>625</v>
      </c>
      <c r="P118" s="5">
        <v>0.18</v>
      </c>
      <c r="Q118" s="14">
        <f>PMT($Y$81/12,$Y$84,-$Y$80)</f>
        <v>76180.282281327251</v>
      </c>
      <c r="R118" s="4">
        <v>1500000</v>
      </c>
      <c r="S118" s="2" t="s">
        <v>12</v>
      </c>
    </row>
    <row r="119" spans="1:19" x14ac:dyDescent="0.3">
      <c r="A119" s="4">
        <v>118</v>
      </c>
      <c r="B119" s="4" t="s">
        <v>138</v>
      </c>
      <c r="C119" s="4" t="s">
        <v>38</v>
      </c>
      <c r="D119" s="4" t="s">
        <v>12</v>
      </c>
      <c r="E119" s="4" t="s">
        <v>13</v>
      </c>
      <c r="F119" s="4" t="s">
        <v>12</v>
      </c>
      <c r="G119" s="4">
        <v>75000</v>
      </c>
      <c r="H119" s="4">
        <v>25000</v>
      </c>
      <c r="I119" s="13">
        <v>1000000</v>
      </c>
      <c r="J119" s="4">
        <v>60</v>
      </c>
      <c r="K119" s="4">
        <v>1</v>
      </c>
      <c r="L119" s="4" t="s">
        <v>14</v>
      </c>
      <c r="M119" s="4" t="s">
        <v>15</v>
      </c>
      <c r="N119" s="4" t="s">
        <v>623</v>
      </c>
      <c r="O119" s="4" t="s">
        <v>625</v>
      </c>
      <c r="P119" s="5">
        <v>0.18</v>
      </c>
      <c r="Q119" s="14">
        <f>PMT($V$3/12,$V$6,-$V$2)</f>
        <v>25393.427427109084</v>
      </c>
      <c r="R119" s="4">
        <v>850000</v>
      </c>
      <c r="S119" s="2" t="s">
        <v>17</v>
      </c>
    </row>
    <row r="120" spans="1:19" x14ac:dyDescent="0.3">
      <c r="A120" s="4">
        <v>119</v>
      </c>
      <c r="B120" s="4" t="s">
        <v>139</v>
      </c>
      <c r="C120" s="4" t="s">
        <v>11</v>
      </c>
      <c r="D120" s="4" t="s">
        <v>17</v>
      </c>
      <c r="E120" s="4" t="s">
        <v>13</v>
      </c>
      <c r="F120" s="4" t="s">
        <v>12</v>
      </c>
      <c r="G120" s="4">
        <v>50000</v>
      </c>
      <c r="H120" s="4">
        <v>35000</v>
      </c>
      <c r="I120" s="13">
        <v>1500000</v>
      </c>
      <c r="J120" s="4">
        <v>60</v>
      </c>
      <c r="K120" s="4">
        <v>1</v>
      </c>
      <c r="L120" s="4" t="s">
        <v>18</v>
      </c>
      <c r="M120" s="4" t="s">
        <v>15</v>
      </c>
      <c r="N120" s="4" t="s">
        <v>623</v>
      </c>
      <c r="O120" s="4" t="s">
        <v>625</v>
      </c>
      <c r="P120" s="5">
        <v>0.18</v>
      </c>
      <c r="Q120" s="14">
        <f>PMT($V$9/12,$V$12,-$V$8)</f>
        <v>38090.141140663625</v>
      </c>
      <c r="R120" s="4">
        <v>740000</v>
      </c>
      <c r="S120" s="2" t="s">
        <v>12</v>
      </c>
    </row>
    <row r="121" spans="1:19" x14ac:dyDescent="0.3">
      <c r="A121" s="4">
        <v>120</v>
      </c>
      <c r="B121" s="4" t="s">
        <v>140</v>
      </c>
      <c r="C121" s="4" t="s">
        <v>38</v>
      </c>
      <c r="D121" s="4" t="s">
        <v>12</v>
      </c>
      <c r="E121" s="4" t="s">
        <v>13</v>
      </c>
      <c r="F121" s="4" t="s">
        <v>12</v>
      </c>
      <c r="G121" s="4">
        <v>85000</v>
      </c>
      <c r="H121" s="4">
        <v>0</v>
      </c>
      <c r="I121" s="13">
        <v>1000000</v>
      </c>
      <c r="J121" s="4">
        <v>60</v>
      </c>
      <c r="K121" s="4">
        <v>1</v>
      </c>
      <c r="L121" s="4" t="s">
        <v>27</v>
      </c>
      <c r="M121" s="4" t="s">
        <v>15</v>
      </c>
      <c r="N121" s="4" t="s">
        <v>623</v>
      </c>
      <c r="O121" s="4" t="s">
        <v>625</v>
      </c>
      <c r="P121" s="5">
        <v>0.18</v>
      </c>
      <c r="Q121" s="14">
        <f>PMT($V$3/12,$V$6,-$V$2)</f>
        <v>25393.427427109084</v>
      </c>
      <c r="R121" s="4">
        <v>620000</v>
      </c>
      <c r="S121" s="2" t="s">
        <v>12</v>
      </c>
    </row>
    <row r="122" spans="1:19" x14ac:dyDescent="0.3">
      <c r="A122" s="4">
        <v>121</v>
      </c>
      <c r="B122" s="4" t="s">
        <v>141</v>
      </c>
      <c r="C122" s="4" t="s">
        <v>38</v>
      </c>
      <c r="D122" s="4" t="s">
        <v>12</v>
      </c>
      <c r="E122" s="4" t="s">
        <v>13</v>
      </c>
      <c r="F122" s="4" t="s">
        <v>12</v>
      </c>
      <c r="G122" s="4">
        <v>50000</v>
      </c>
      <c r="H122" s="4">
        <v>30000</v>
      </c>
      <c r="I122" s="13">
        <v>2000000</v>
      </c>
      <c r="J122" s="4">
        <v>60</v>
      </c>
      <c r="K122" s="4">
        <v>0</v>
      </c>
      <c r="L122" s="4" t="s">
        <v>27</v>
      </c>
      <c r="M122" s="4" t="s">
        <v>15</v>
      </c>
      <c r="N122" s="4" t="s">
        <v>623</v>
      </c>
      <c r="O122" s="4" t="s">
        <v>625</v>
      </c>
      <c r="P122" s="5">
        <v>0.18</v>
      </c>
      <c r="Q122" s="14">
        <f>PMT($V$27/12,$V$30,-$V$26)</f>
        <v>50786.854854218167</v>
      </c>
      <c r="R122" s="4">
        <v>500000</v>
      </c>
      <c r="S122" s="2" t="s">
        <v>12</v>
      </c>
    </row>
    <row r="123" spans="1:19" x14ac:dyDescent="0.3">
      <c r="A123" s="4">
        <v>122</v>
      </c>
      <c r="B123" s="4" t="s">
        <v>142</v>
      </c>
      <c r="C123" s="4" t="s">
        <v>11</v>
      </c>
      <c r="D123" s="4" t="s">
        <v>17</v>
      </c>
      <c r="E123" s="4" t="s">
        <v>13</v>
      </c>
      <c r="F123" s="4" t="s">
        <v>12</v>
      </c>
      <c r="G123" s="4">
        <v>65000</v>
      </c>
      <c r="H123" s="4">
        <v>20000</v>
      </c>
      <c r="I123" s="13">
        <v>800000</v>
      </c>
      <c r="J123" s="4">
        <v>60</v>
      </c>
      <c r="K123" s="4">
        <v>1</v>
      </c>
      <c r="L123" s="4" t="s">
        <v>27</v>
      </c>
      <c r="M123" s="4" t="s">
        <v>15</v>
      </c>
      <c r="N123" s="4" t="s">
        <v>623</v>
      </c>
      <c r="O123" s="4" t="s">
        <v>625</v>
      </c>
      <c r="P123" s="5">
        <v>0.18</v>
      </c>
      <c r="Q123" s="14">
        <f>PMT($V$33/12,$V$36,-$V$32)</f>
        <v>20314.741941687265</v>
      </c>
      <c r="R123" s="4">
        <v>740000</v>
      </c>
      <c r="S123" s="2" t="s">
        <v>12</v>
      </c>
    </row>
    <row r="124" spans="1:19" x14ac:dyDescent="0.3">
      <c r="A124" s="4">
        <v>123</v>
      </c>
      <c r="B124" s="4" t="s">
        <v>143</v>
      </c>
      <c r="C124" s="4" t="s">
        <v>11</v>
      </c>
      <c r="D124" s="4" t="s">
        <v>17</v>
      </c>
      <c r="E124" s="4" t="s">
        <v>22</v>
      </c>
      <c r="F124" s="4" t="s">
        <v>12</v>
      </c>
      <c r="G124" s="4">
        <v>55000</v>
      </c>
      <c r="H124" s="4">
        <v>25000</v>
      </c>
      <c r="I124" s="13">
        <v>1000000</v>
      </c>
      <c r="J124" s="4">
        <v>60</v>
      </c>
      <c r="K124" s="4">
        <v>1</v>
      </c>
      <c r="L124" s="4" t="s">
        <v>18</v>
      </c>
      <c r="M124" s="4" t="s">
        <v>15</v>
      </c>
      <c r="N124" s="4" t="s">
        <v>623</v>
      </c>
      <c r="O124" s="4" t="s">
        <v>625</v>
      </c>
      <c r="P124" s="5">
        <v>0.18</v>
      </c>
      <c r="Q124" s="14">
        <f t="shared" ref="Q124:Q125" si="6">PMT($V$3/12,$V$6,-$V$2)</f>
        <v>25393.427427109084</v>
      </c>
      <c r="R124" s="4">
        <v>430000</v>
      </c>
      <c r="S124" s="2" t="s">
        <v>17</v>
      </c>
    </row>
    <row r="125" spans="1:19" x14ac:dyDescent="0.3">
      <c r="A125" s="4">
        <v>124</v>
      </c>
      <c r="B125" s="4" t="s">
        <v>144</v>
      </c>
      <c r="C125" s="4" t="s">
        <v>38</v>
      </c>
      <c r="D125" s="4" t="s">
        <v>12</v>
      </c>
      <c r="E125" s="4" t="s">
        <v>13</v>
      </c>
      <c r="F125" s="4" t="s">
        <v>12</v>
      </c>
      <c r="G125" s="4">
        <v>50000</v>
      </c>
      <c r="H125" s="4">
        <v>0</v>
      </c>
      <c r="I125" s="13">
        <v>1000000</v>
      </c>
      <c r="J125" s="4">
        <v>60</v>
      </c>
      <c r="K125" s="4">
        <v>0</v>
      </c>
      <c r="L125" s="4" t="s">
        <v>18</v>
      </c>
      <c r="M125" s="4" t="s">
        <v>15</v>
      </c>
      <c r="N125" s="4" t="s">
        <v>623</v>
      </c>
      <c r="O125" s="4" t="s">
        <v>625</v>
      </c>
      <c r="P125" s="5">
        <v>0.18</v>
      </c>
      <c r="Q125" s="14">
        <f t="shared" si="6"/>
        <v>25393.427427109084</v>
      </c>
      <c r="R125" s="4">
        <v>400000</v>
      </c>
      <c r="S125" s="2" t="s">
        <v>12</v>
      </c>
    </row>
    <row r="126" spans="1:19" x14ac:dyDescent="0.3">
      <c r="A126" s="4">
        <v>125</v>
      </c>
      <c r="B126" s="4" t="s">
        <v>145</v>
      </c>
      <c r="C126" s="4" t="s">
        <v>11</v>
      </c>
      <c r="D126" s="4" t="s">
        <v>12</v>
      </c>
      <c r="E126" s="4" t="s">
        <v>13</v>
      </c>
      <c r="F126" s="4" t="s">
        <v>12</v>
      </c>
      <c r="G126" s="4">
        <v>100000</v>
      </c>
      <c r="H126" s="4">
        <v>35000</v>
      </c>
      <c r="I126" s="13">
        <v>1500000</v>
      </c>
      <c r="J126" s="4">
        <v>60</v>
      </c>
      <c r="K126" s="4">
        <v>1</v>
      </c>
      <c r="L126" s="4" t="s">
        <v>18</v>
      </c>
      <c r="M126" s="4" t="s">
        <v>15</v>
      </c>
      <c r="N126" s="4" t="s">
        <v>623</v>
      </c>
      <c r="O126" s="4" t="s">
        <v>625</v>
      </c>
      <c r="P126" s="5">
        <v>0.18</v>
      </c>
      <c r="Q126" s="14">
        <f t="shared" ref="Q126:Q127" si="7">PMT($V$9/12,$V$12,-$V$8)</f>
        <v>38090.141140663625</v>
      </c>
      <c r="R126" s="4">
        <v>850000</v>
      </c>
      <c r="S126" s="2" t="s">
        <v>12</v>
      </c>
    </row>
    <row r="127" spans="1:19" x14ac:dyDescent="0.3">
      <c r="A127" s="4">
        <v>126</v>
      </c>
      <c r="B127" s="4" t="s">
        <v>146</v>
      </c>
      <c r="C127" s="4" t="s">
        <v>11</v>
      </c>
      <c r="D127" s="4" t="s">
        <v>17</v>
      </c>
      <c r="E127" s="4" t="s">
        <v>13</v>
      </c>
      <c r="F127" s="4" t="s">
        <v>17</v>
      </c>
      <c r="G127" s="4">
        <v>80000</v>
      </c>
      <c r="H127" s="4">
        <v>0</v>
      </c>
      <c r="I127" s="13">
        <v>1500000</v>
      </c>
      <c r="J127" s="4">
        <v>60</v>
      </c>
      <c r="K127" s="4">
        <v>0</v>
      </c>
      <c r="L127" s="4" t="s">
        <v>14</v>
      </c>
      <c r="M127" s="4" t="s">
        <v>19</v>
      </c>
      <c r="N127" s="4" t="s">
        <v>623</v>
      </c>
      <c r="O127" s="4" t="s">
        <v>625</v>
      </c>
      <c r="P127" s="5">
        <v>0.18</v>
      </c>
      <c r="Q127" s="14">
        <f t="shared" si="7"/>
        <v>38090.141140663625</v>
      </c>
      <c r="R127" s="4">
        <v>610000</v>
      </c>
      <c r="S127" s="2" t="s">
        <v>12</v>
      </c>
    </row>
    <row r="128" spans="1:19" x14ac:dyDescent="0.3">
      <c r="A128" s="4">
        <v>127</v>
      </c>
      <c r="B128" s="4" t="s">
        <v>147</v>
      </c>
      <c r="C128" s="4" t="s">
        <v>11</v>
      </c>
      <c r="D128" s="4" t="s">
        <v>17</v>
      </c>
      <c r="E128" s="4" t="s">
        <v>13</v>
      </c>
      <c r="F128" s="4" t="s">
        <v>12</v>
      </c>
      <c r="G128" s="4">
        <v>25000</v>
      </c>
      <c r="H128" s="4">
        <v>10000</v>
      </c>
      <c r="I128" s="13">
        <v>500000</v>
      </c>
      <c r="J128" s="4">
        <v>60</v>
      </c>
      <c r="K128" s="4">
        <v>1</v>
      </c>
      <c r="L128" s="4" t="s">
        <v>18</v>
      </c>
      <c r="M128" s="4" t="s">
        <v>19</v>
      </c>
      <c r="N128" s="4" t="s">
        <v>623</v>
      </c>
      <c r="O128" s="4" t="s">
        <v>625</v>
      </c>
      <c r="P128" s="5">
        <v>0.18</v>
      </c>
      <c r="Q128" s="14">
        <f t="shared" ref="Q128:Q129" si="8">PMT($V$15/12,$V$18,-$V$14)</f>
        <v>12696.713713554542</v>
      </c>
      <c r="R128" s="4">
        <v>200000</v>
      </c>
      <c r="S128" s="2" t="s">
        <v>17</v>
      </c>
    </row>
    <row r="129" spans="1:19" x14ac:dyDescent="0.3">
      <c r="A129" s="4">
        <v>128</v>
      </c>
      <c r="B129" s="4" t="s">
        <v>148</v>
      </c>
      <c r="C129" s="4" t="s">
        <v>11</v>
      </c>
      <c r="D129" s="4" t="s">
        <v>12</v>
      </c>
      <c r="E129" s="4" t="s">
        <v>13</v>
      </c>
      <c r="F129" s="4" t="s">
        <v>17</v>
      </c>
      <c r="G129" s="4">
        <v>50000</v>
      </c>
      <c r="H129" s="4">
        <v>0</v>
      </c>
      <c r="I129" s="13">
        <v>500000</v>
      </c>
      <c r="J129" s="4">
        <v>60</v>
      </c>
      <c r="K129" s="4">
        <v>0</v>
      </c>
      <c r="L129" s="4" t="s">
        <v>14</v>
      </c>
      <c r="M129" s="4" t="s">
        <v>15</v>
      </c>
      <c r="N129" s="4" t="s">
        <v>623</v>
      </c>
      <c r="O129" s="4" t="s">
        <v>625</v>
      </c>
      <c r="P129" s="5">
        <v>0.18</v>
      </c>
      <c r="Q129" s="14">
        <f t="shared" si="8"/>
        <v>12696.713713554542</v>
      </c>
      <c r="R129" s="4">
        <v>400000</v>
      </c>
      <c r="S129" s="2" t="s">
        <v>12</v>
      </c>
    </row>
    <row r="130" spans="1:19" x14ac:dyDescent="0.3">
      <c r="A130" s="4">
        <v>129</v>
      </c>
      <c r="B130" s="4" t="s">
        <v>149</v>
      </c>
      <c r="C130" s="4" t="s">
        <v>11</v>
      </c>
      <c r="D130" s="4" t="s">
        <v>12</v>
      </c>
      <c r="E130" s="4" t="s">
        <v>13</v>
      </c>
      <c r="F130" s="4" t="s">
        <v>12</v>
      </c>
      <c r="G130" s="4">
        <v>200000</v>
      </c>
      <c r="H130" s="4">
        <v>50000</v>
      </c>
      <c r="I130" s="13">
        <v>3000000</v>
      </c>
      <c r="J130" s="4">
        <v>60</v>
      </c>
      <c r="K130" s="4">
        <v>1</v>
      </c>
      <c r="L130" s="4" t="s">
        <v>14</v>
      </c>
      <c r="M130" s="4" t="s">
        <v>15</v>
      </c>
      <c r="N130" s="4" t="s">
        <v>623</v>
      </c>
      <c r="O130" s="4" t="s">
        <v>625</v>
      </c>
      <c r="P130" s="5">
        <v>0.18</v>
      </c>
      <c r="Q130" s="14">
        <f>PMT($Y$81/12,$Y$84,-$Y$80)</f>
        <v>76180.282281327251</v>
      </c>
      <c r="R130" s="4">
        <v>1000000</v>
      </c>
      <c r="S130" s="2" t="s">
        <v>12</v>
      </c>
    </row>
    <row r="131" spans="1:19" x14ac:dyDescent="0.3">
      <c r="A131" s="4">
        <v>130</v>
      </c>
      <c r="B131" s="4" t="s">
        <v>150</v>
      </c>
      <c r="C131" s="4" t="s">
        <v>11</v>
      </c>
      <c r="D131" s="4" t="s">
        <v>12</v>
      </c>
      <c r="E131" s="4" t="s">
        <v>13</v>
      </c>
      <c r="F131" s="4" t="s">
        <v>12</v>
      </c>
      <c r="G131" s="4">
        <v>30000</v>
      </c>
      <c r="H131" s="4">
        <v>10000</v>
      </c>
      <c r="I131" s="13">
        <v>1000000</v>
      </c>
      <c r="J131" s="4">
        <v>60</v>
      </c>
      <c r="K131" s="4">
        <v>1</v>
      </c>
      <c r="L131" s="4" t="s">
        <v>27</v>
      </c>
      <c r="M131" s="4" t="s">
        <v>15</v>
      </c>
      <c r="N131" s="4" t="s">
        <v>623</v>
      </c>
      <c r="O131" s="4" t="s">
        <v>625</v>
      </c>
      <c r="P131" s="5">
        <v>0.18</v>
      </c>
      <c r="Q131" s="14">
        <f t="shared" ref="Q131:Q132" si="9">PMT($V$3/12,$V$6,-$V$2)</f>
        <v>25393.427427109084</v>
      </c>
      <c r="R131" s="4">
        <v>400000</v>
      </c>
      <c r="S131" s="2" t="s">
        <v>12</v>
      </c>
    </row>
    <row r="132" spans="1:19" x14ac:dyDescent="0.3">
      <c r="A132" s="4">
        <v>131</v>
      </c>
      <c r="B132" s="4" t="s">
        <v>151</v>
      </c>
      <c r="C132" s="4" t="s">
        <v>11</v>
      </c>
      <c r="D132" s="4" t="s">
        <v>17</v>
      </c>
      <c r="E132" s="4" t="s">
        <v>13</v>
      </c>
      <c r="F132" s="4" t="s">
        <v>17</v>
      </c>
      <c r="G132" s="4">
        <v>75000</v>
      </c>
      <c r="H132" s="4">
        <v>25000</v>
      </c>
      <c r="I132" s="13">
        <v>1000000</v>
      </c>
      <c r="J132" s="4">
        <v>60</v>
      </c>
      <c r="K132" s="4">
        <v>1</v>
      </c>
      <c r="L132" s="4" t="s">
        <v>27</v>
      </c>
      <c r="M132" s="4" t="s">
        <v>15</v>
      </c>
      <c r="N132" s="4" t="s">
        <v>623</v>
      </c>
      <c r="O132" s="4" t="s">
        <v>625</v>
      </c>
      <c r="P132" s="5">
        <v>0.18</v>
      </c>
      <c r="Q132" s="14">
        <f t="shared" si="9"/>
        <v>25393.427427109084</v>
      </c>
      <c r="R132" s="4">
        <v>680000</v>
      </c>
      <c r="S132" s="2" t="s">
        <v>12</v>
      </c>
    </row>
    <row r="133" spans="1:19" x14ac:dyDescent="0.3">
      <c r="A133" s="4">
        <v>132</v>
      </c>
      <c r="B133" s="4" t="s">
        <v>152</v>
      </c>
      <c r="C133" s="4" t="s">
        <v>11</v>
      </c>
      <c r="D133" s="4" t="s">
        <v>12</v>
      </c>
      <c r="E133" s="4" t="s">
        <v>13</v>
      </c>
      <c r="F133" s="4" t="s">
        <v>12</v>
      </c>
      <c r="G133" s="4">
        <v>50000</v>
      </c>
      <c r="H133" s="4">
        <v>35000</v>
      </c>
      <c r="I133" s="13">
        <v>1500000</v>
      </c>
      <c r="J133" s="4">
        <v>60</v>
      </c>
      <c r="K133" s="4">
        <v>1</v>
      </c>
      <c r="L133" s="4" t="s">
        <v>27</v>
      </c>
      <c r="M133" s="4" t="s">
        <v>15</v>
      </c>
      <c r="N133" s="4" t="s">
        <v>623</v>
      </c>
      <c r="O133" s="4" t="s">
        <v>625</v>
      </c>
      <c r="P133" s="5">
        <v>0.18</v>
      </c>
      <c r="Q133" s="14">
        <f>PMT($V$9/12,$V$12,-$V$8)</f>
        <v>38090.141140663625</v>
      </c>
      <c r="R133" s="4">
        <v>740000</v>
      </c>
      <c r="S133" s="2" t="s">
        <v>17</v>
      </c>
    </row>
    <row r="134" spans="1:19" x14ac:dyDescent="0.3">
      <c r="A134" s="4">
        <v>133</v>
      </c>
      <c r="B134" s="4" t="s">
        <v>153</v>
      </c>
      <c r="C134" s="4" t="s">
        <v>11</v>
      </c>
      <c r="D134" s="4" t="s">
        <v>17</v>
      </c>
      <c r="E134" s="4" t="s">
        <v>13</v>
      </c>
      <c r="F134" s="4" t="s">
        <v>12</v>
      </c>
      <c r="G134" s="4">
        <v>85000</v>
      </c>
      <c r="H134" s="4">
        <v>0</v>
      </c>
      <c r="I134" s="13">
        <v>1000000</v>
      </c>
      <c r="J134" s="4">
        <v>60</v>
      </c>
      <c r="K134" s="4">
        <v>1</v>
      </c>
      <c r="L134" s="4" t="s">
        <v>27</v>
      </c>
      <c r="M134" s="4" t="s">
        <v>19</v>
      </c>
      <c r="N134" s="4" t="s">
        <v>623</v>
      </c>
      <c r="O134" s="4" t="s">
        <v>625</v>
      </c>
      <c r="P134" s="5">
        <v>0.18</v>
      </c>
      <c r="Q134" s="14">
        <f>PMT($V$3/12,$V$6,-$V$2)</f>
        <v>25393.427427109084</v>
      </c>
      <c r="R134" s="4">
        <v>700000</v>
      </c>
      <c r="S134" s="2" t="s">
        <v>12</v>
      </c>
    </row>
    <row r="135" spans="1:19" x14ac:dyDescent="0.3">
      <c r="A135" s="4">
        <v>134</v>
      </c>
      <c r="B135" s="4" t="s">
        <v>154</v>
      </c>
      <c r="C135" s="4" t="s">
        <v>38</v>
      </c>
      <c r="D135" s="4" t="s">
        <v>17</v>
      </c>
      <c r="E135" s="4" t="s">
        <v>13</v>
      </c>
      <c r="F135" s="4" t="s">
        <v>12</v>
      </c>
      <c r="G135" s="4">
        <v>50000</v>
      </c>
      <c r="H135" s="4">
        <v>30000</v>
      </c>
      <c r="I135" s="13">
        <v>2000000</v>
      </c>
      <c r="J135" s="4">
        <v>60</v>
      </c>
      <c r="K135" s="4">
        <v>1</v>
      </c>
      <c r="L135" s="4" t="s">
        <v>18</v>
      </c>
      <c r="M135" s="4" t="s">
        <v>19</v>
      </c>
      <c r="N135" s="4" t="s">
        <v>623</v>
      </c>
      <c r="O135" s="4" t="s">
        <v>625</v>
      </c>
      <c r="P135" s="5">
        <v>0.18</v>
      </c>
      <c r="Q135" s="14">
        <f>PMT($V$27/12,$V$30,-$V$26)</f>
        <v>50786.854854218167</v>
      </c>
      <c r="R135" s="4">
        <v>700000</v>
      </c>
      <c r="S135" s="2" t="s">
        <v>17</v>
      </c>
    </row>
    <row r="136" spans="1:19" x14ac:dyDescent="0.3">
      <c r="A136" s="4">
        <v>135</v>
      </c>
      <c r="B136" s="4" t="s">
        <v>155</v>
      </c>
      <c r="C136" s="4" t="s">
        <v>11</v>
      </c>
      <c r="D136" s="4" t="s">
        <v>17</v>
      </c>
      <c r="E136" s="4" t="s">
        <v>13</v>
      </c>
      <c r="F136" s="4" t="s">
        <v>17</v>
      </c>
      <c r="G136" s="4">
        <v>65000</v>
      </c>
      <c r="H136" s="4">
        <v>20000</v>
      </c>
      <c r="I136" s="13">
        <v>800000</v>
      </c>
      <c r="J136" s="4">
        <v>60</v>
      </c>
      <c r="K136" s="4">
        <v>1</v>
      </c>
      <c r="L136" s="4" t="s">
        <v>14</v>
      </c>
      <c r="M136" s="4" t="s">
        <v>15</v>
      </c>
      <c r="N136" s="4" t="s">
        <v>623</v>
      </c>
      <c r="O136" s="4" t="s">
        <v>625</v>
      </c>
      <c r="P136" s="5">
        <v>0.18</v>
      </c>
      <c r="Q136" s="14">
        <f>PMT($V$33/12,$V$36,-$V$32)</f>
        <v>20314.741941687265</v>
      </c>
      <c r="R136" s="4">
        <v>690000</v>
      </c>
      <c r="S136" s="2" t="s">
        <v>17</v>
      </c>
    </row>
    <row r="137" spans="1:19" x14ac:dyDescent="0.3">
      <c r="A137" s="4">
        <v>136</v>
      </c>
      <c r="B137" s="4" t="s">
        <v>156</v>
      </c>
      <c r="C137" s="4" t="s">
        <v>11</v>
      </c>
      <c r="D137" s="4" t="s">
        <v>12</v>
      </c>
      <c r="E137" s="4" t="s">
        <v>13</v>
      </c>
      <c r="F137" s="4" t="s">
        <v>12</v>
      </c>
      <c r="G137" s="4">
        <v>55000</v>
      </c>
      <c r="H137" s="4">
        <v>25000</v>
      </c>
      <c r="I137" s="13">
        <v>1000000</v>
      </c>
      <c r="J137" s="4">
        <v>60</v>
      </c>
      <c r="K137" s="4">
        <v>0</v>
      </c>
      <c r="L137" s="4" t="s">
        <v>27</v>
      </c>
      <c r="M137" s="4" t="s">
        <v>19</v>
      </c>
      <c r="N137" s="4" t="s">
        <v>623</v>
      </c>
      <c r="O137" s="4" t="s">
        <v>625</v>
      </c>
      <c r="P137" s="5">
        <v>0.18</v>
      </c>
      <c r="Q137" s="14">
        <f>PMT($V$3/12,$V$6,-$V$2)</f>
        <v>25393.427427109084</v>
      </c>
      <c r="R137" s="4">
        <v>600000</v>
      </c>
      <c r="S137" s="2" t="s">
        <v>12</v>
      </c>
    </row>
    <row r="138" spans="1:19" x14ac:dyDescent="0.3">
      <c r="A138" s="4">
        <v>137</v>
      </c>
      <c r="B138" s="4" t="s">
        <v>157</v>
      </c>
      <c r="C138" s="4" t="s">
        <v>11</v>
      </c>
      <c r="D138" s="4" t="s">
        <v>17</v>
      </c>
      <c r="E138" s="4" t="s">
        <v>22</v>
      </c>
      <c r="F138" s="4" t="s">
        <v>12</v>
      </c>
      <c r="G138" s="4">
        <v>85000</v>
      </c>
      <c r="H138" s="4">
        <v>0</v>
      </c>
      <c r="I138" s="13">
        <v>2000000</v>
      </c>
      <c r="J138" s="4">
        <v>60</v>
      </c>
      <c r="K138" s="4">
        <v>1</v>
      </c>
      <c r="L138" s="4" t="s">
        <v>18</v>
      </c>
      <c r="M138" s="4" t="s">
        <v>19</v>
      </c>
      <c r="N138" s="4" t="s">
        <v>623</v>
      </c>
      <c r="O138" s="4" t="s">
        <v>625</v>
      </c>
      <c r="P138" s="5">
        <v>0.18</v>
      </c>
      <c r="Q138" s="14">
        <f>PMT($V$27/12,$V$30,-$V$26)</f>
        <v>50786.854854218167</v>
      </c>
      <c r="R138" s="4">
        <v>750000</v>
      </c>
      <c r="S138" s="2" t="s">
        <v>12</v>
      </c>
    </row>
    <row r="139" spans="1:19" x14ac:dyDescent="0.3">
      <c r="A139" s="4">
        <v>138</v>
      </c>
      <c r="B139" s="4" t="s">
        <v>158</v>
      </c>
      <c r="C139" s="4" t="s">
        <v>11</v>
      </c>
      <c r="D139" s="4" t="s">
        <v>17</v>
      </c>
      <c r="E139" s="4" t="s">
        <v>13</v>
      </c>
      <c r="F139" s="4" t="s">
        <v>12</v>
      </c>
      <c r="G139" s="4">
        <v>85000</v>
      </c>
      <c r="H139" s="4">
        <v>30000</v>
      </c>
      <c r="I139" s="13">
        <v>1500000</v>
      </c>
      <c r="J139" s="4">
        <v>60</v>
      </c>
      <c r="K139" s="4">
        <v>1</v>
      </c>
      <c r="L139" s="4" t="s">
        <v>18</v>
      </c>
      <c r="M139" s="4" t="s">
        <v>19</v>
      </c>
      <c r="N139" s="4" t="s">
        <v>623</v>
      </c>
      <c r="O139" s="4" t="s">
        <v>625</v>
      </c>
      <c r="P139" s="5">
        <v>0.18</v>
      </c>
      <c r="Q139" s="14">
        <f>PMT($V$9/12,$V$12,-$V$8)</f>
        <v>38090.141140663625</v>
      </c>
      <c r="R139" s="4">
        <v>1000000</v>
      </c>
      <c r="S139" s="2" t="s">
        <v>12</v>
      </c>
    </row>
    <row r="140" spans="1:19" x14ac:dyDescent="0.3">
      <c r="A140" s="4">
        <v>139</v>
      </c>
      <c r="B140" s="4" t="s">
        <v>159</v>
      </c>
      <c r="C140" s="4" t="s">
        <v>11</v>
      </c>
      <c r="D140" s="4" t="s">
        <v>12</v>
      </c>
      <c r="E140" s="4" t="s">
        <v>13</v>
      </c>
      <c r="F140" s="4" t="s">
        <v>12</v>
      </c>
      <c r="G140" s="4">
        <v>45000</v>
      </c>
      <c r="H140" s="4">
        <v>40000</v>
      </c>
      <c r="I140" s="13">
        <v>1000000</v>
      </c>
      <c r="J140" s="4">
        <v>60</v>
      </c>
      <c r="K140" s="4">
        <v>1</v>
      </c>
      <c r="L140" s="4" t="s">
        <v>14</v>
      </c>
      <c r="M140" s="4" t="s">
        <v>15</v>
      </c>
      <c r="N140" s="4" t="s">
        <v>623</v>
      </c>
      <c r="O140" s="4" t="s">
        <v>625</v>
      </c>
      <c r="P140" s="5">
        <v>0.18</v>
      </c>
      <c r="Q140" s="14">
        <f>PMT($V$3/12,$V$6,-$V$2)</f>
        <v>25393.427427109084</v>
      </c>
      <c r="R140" s="4">
        <v>630000</v>
      </c>
      <c r="S140" s="2" t="s">
        <v>12</v>
      </c>
    </row>
    <row r="141" spans="1:19" x14ac:dyDescent="0.3">
      <c r="A141" s="4">
        <v>140</v>
      </c>
      <c r="B141" s="4" t="s">
        <v>160</v>
      </c>
      <c r="C141" s="4" t="s">
        <v>11</v>
      </c>
      <c r="D141" s="4" t="s">
        <v>12</v>
      </c>
      <c r="E141" s="4" t="s">
        <v>13</v>
      </c>
      <c r="F141" s="4" t="s">
        <v>17</v>
      </c>
      <c r="G141" s="4">
        <v>25000</v>
      </c>
      <c r="H141" s="4">
        <v>0</v>
      </c>
      <c r="I141" s="13">
        <v>500000</v>
      </c>
      <c r="J141" s="4">
        <v>60</v>
      </c>
      <c r="K141" s="4">
        <v>1</v>
      </c>
      <c r="L141" s="4" t="s">
        <v>27</v>
      </c>
      <c r="M141" s="4" t="s">
        <v>15</v>
      </c>
      <c r="N141" s="4" t="s">
        <v>623</v>
      </c>
      <c r="O141" s="4" t="s">
        <v>625</v>
      </c>
      <c r="P141" s="5">
        <v>0.18</v>
      </c>
      <c r="Q141" s="14">
        <f t="shared" ref="Q141:Q142" si="10">PMT($V$15/12,$V$18,-$V$14)</f>
        <v>12696.713713554542</v>
      </c>
      <c r="R141" s="4" t="s">
        <v>635</v>
      </c>
      <c r="S141" s="2" t="s">
        <v>17</v>
      </c>
    </row>
    <row r="142" spans="1:19" x14ac:dyDescent="0.3">
      <c r="A142" s="4">
        <v>141</v>
      </c>
      <c r="B142" s="4" t="s">
        <v>161</v>
      </c>
      <c r="C142" s="4" t="s">
        <v>11</v>
      </c>
      <c r="D142" s="4" t="s">
        <v>17</v>
      </c>
      <c r="E142" s="4" t="s">
        <v>13</v>
      </c>
      <c r="F142" s="4" t="s">
        <v>12</v>
      </c>
      <c r="G142" s="4">
        <v>50000</v>
      </c>
      <c r="H142" s="4">
        <v>0</v>
      </c>
      <c r="I142" s="13">
        <v>500000</v>
      </c>
      <c r="J142" s="4">
        <v>60</v>
      </c>
      <c r="K142" s="4">
        <v>1</v>
      </c>
      <c r="L142" s="4" t="s">
        <v>27</v>
      </c>
      <c r="M142" s="4" t="s">
        <v>15</v>
      </c>
      <c r="N142" s="4" t="s">
        <v>623</v>
      </c>
      <c r="O142" s="4" t="s">
        <v>625</v>
      </c>
      <c r="P142" s="5">
        <v>0.18</v>
      </c>
      <c r="Q142" s="14">
        <f t="shared" si="10"/>
        <v>12696.713713554542</v>
      </c>
      <c r="R142" s="4">
        <v>500000</v>
      </c>
      <c r="S142" s="2" t="s">
        <v>12</v>
      </c>
    </row>
    <row r="143" spans="1:19" x14ac:dyDescent="0.3">
      <c r="A143" s="4">
        <v>142</v>
      </c>
      <c r="B143" s="4" t="s">
        <v>162</v>
      </c>
      <c r="C143" s="4" t="s">
        <v>11</v>
      </c>
      <c r="D143" s="4" t="s">
        <v>17</v>
      </c>
      <c r="E143" s="4" t="s">
        <v>13</v>
      </c>
      <c r="F143" s="4" t="s">
        <v>12</v>
      </c>
      <c r="G143" s="4">
        <v>15000</v>
      </c>
      <c r="H143" s="4">
        <v>10000</v>
      </c>
      <c r="I143" s="13">
        <v>600000</v>
      </c>
      <c r="J143" s="4">
        <v>60</v>
      </c>
      <c r="K143" s="4">
        <v>1</v>
      </c>
      <c r="L143" s="4" t="s">
        <v>14</v>
      </c>
      <c r="M143" s="4" t="s">
        <v>15</v>
      </c>
      <c r="N143" s="4" t="s">
        <v>623</v>
      </c>
      <c r="O143" s="4" t="s">
        <v>625</v>
      </c>
      <c r="P143" s="5">
        <v>0.18</v>
      </c>
      <c r="Q143" s="14">
        <f>PMT($V$39/12,$V$42,-$V$38)</f>
        <v>15236.056456265451</v>
      </c>
      <c r="R143" s="4">
        <v>150000</v>
      </c>
      <c r="S143" s="2" t="s">
        <v>17</v>
      </c>
    </row>
    <row r="144" spans="1:19" x14ac:dyDescent="0.3">
      <c r="A144" s="4">
        <v>143</v>
      </c>
      <c r="B144" s="4" t="s">
        <v>163</v>
      </c>
      <c r="C144" s="4" t="s">
        <v>38</v>
      </c>
      <c r="D144" s="4" t="s">
        <v>17</v>
      </c>
      <c r="E144" s="4" t="s">
        <v>13</v>
      </c>
      <c r="F144" s="4" t="s">
        <v>12</v>
      </c>
      <c r="G144" s="4">
        <v>150000</v>
      </c>
      <c r="H144" s="4">
        <v>0</v>
      </c>
      <c r="I144" s="13">
        <v>2000000</v>
      </c>
      <c r="J144" s="4">
        <v>60</v>
      </c>
      <c r="K144" s="4">
        <v>1</v>
      </c>
      <c r="L144" s="4" t="s">
        <v>27</v>
      </c>
      <c r="M144" s="4" t="s">
        <v>15</v>
      </c>
      <c r="N144" s="4" t="s">
        <v>623</v>
      </c>
      <c r="O144" s="4" t="s">
        <v>625</v>
      </c>
      <c r="P144" s="5">
        <v>0.18</v>
      </c>
      <c r="Q144" s="14">
        <f>PMT($V$27/12,$V$30,-$V$26)</f>
        <v>50786.854854218167</v>
      </c>
      <c r="R144" s="4">
        <v>930000</v>
      </c>
      <c r="S144" s="2" t="s">
        <v>12</v>
      </c>
    </row>
    <row r="145" spans="1:19" x14ac:dyDescent="0.3">
      <c r="A145" s="4">
        <v>144</v>
      </c>
      <c r="B145" s="4" t="s">
        <v>164</v>
      </c>
      <c r="C145" s="4" t="s">
        <v>38</v>
      </c>
      <c r="D145" s="4" t="s">
        <v>17</v>
      </c>
      <c r="E145" s="4" t="s">
        <v>13</v>
      </c>
      <c r="F145" s="4" t="s">
        <v>12</v>
      </c>
      <c r="G145" s="4">
        <v>20000</v>
      </c>
      <c r="H145" s="4">
        <v>10000</v>
      </c>
      <c r="I145" s="13">
        <v>756201</v>
      </c>
      <c r="J145" s="4">
        <v>60</v>
      </c>
      <c r="K145" s="4">
        <v>1</v>
      </c>
      <c r="L145" s="4" t="s">
        <v>14</v>
      </c>
      <c r="M145" s="4" t="s">
        <v>15</v>
      </c>
      <c r="N145" s="4" t="s">
        <v>623</v>
      </c>
      <c r="O145" s="4" t="s">
        <v>625</v>
      </c>
      <c r="P145" s="5">
        <v>0.18</v>
      </c>
      <c r="Q145" s="14">
        <f>PMT($Y$3/12,$Y$6,-$Y$2)</f>
        <v>19202.535213807318</v>
      </c>
      <c r="R145" s="4">
        <v>150000</v>
      </c>
      <c r="S145" s="2" t="s">
        <v>12</v>
      </c>
    </row>
    <row r="146" spans="1:19" x14ac:dyDescent="0.3">
      <c r="A146" s="4">
        <v>145</v>
      </c>
      <c r="B146" s="4" t="s">
        <v>165</v>
      </c>
      <c r="C146" s="4" t="s">
        <v>11</v>
      </c>
      <c r="D146" s="4" t="s">
        <v>17</v>
      </c>
      <c r="E146" s="4" t="s">
        <v>13</v>
      </c>
      <c r="F146" s="4" t="s">
        <v>12</v>
      </c>
      <c r="G146" s="4">
        <v>50000</v>
      </c>
      <c r="H146" s="4">
        <v>25000</v>
      </c>
      <c r="I146" s="13">
        <v>200000</v>
      </c>
      <c r="J146" s="4">
        <v>60</v>
      </c>
      <c r="K146" s="4">
        <v>1</v>
      </c>
      <c r="L146" s="4" t="s">
        <v>14</v>
      </c>
      <c r="M146" s="4" t="s">
        <v>15</v>
      </c>
      <c r="N146" s="4" t="s">
        <v>623</v>
      </c>
      <c r="O146" s="4" t="s">
        <v>625</v>
      </c>
      <c r="P146" s="5">
        <v>0.18</v>
      </c>
      <c r="Q146" s="14">
        <f>PMT($Y$9/12,$Y$12,-$Y$8)</f>
        <v>5078.6854854218163</v>
      </c>
      <c r="R146" s="4">
        <v>500000</v>
      </c>
      <c r="S146" s="2" t="s">
        <v>12</v>
      </c>
    </row>
    <row r="147" spans="1:19" x14ac:dyDescent="0.3">
      <c r="A147" s="4">
        <v>146</v>
      </c>
      <c r="B147" s="4" t="s">
        <v>166</v>
      </c>
      <c r="C147" s="4" t="s">
        <v>38</v>
      </c>
      <c r="D147" s="4" t="s">
        <v>12</v>
      </c>
      <c r="E147" s="4" t="s">
        <v>13</v>
      </c>
      <c r="F147" s="4" t="s">
        <v>12</v>
      </c>
      <c r="G147" s="4">
        <v>10000</v>
      </c>
      <c r="H147" s="4">
        <v>0</v>
      </c>
      <c r="I147" s="13">
        <v>352000</v>
      </c>
      <c r="J147" s="4">
        <v>60</v>
      </c>
      <c r="K147" s="4">
        <v>1</v>
      </c>
      <c r="L147" s="4" t="s">
        <v>18</v>
      </c>
      <c r="M147" s="4" t="s">
        <v>19</v>
      </c>
      <c r="N147" s="4" t="s">
        <v>623</v>
      </c>
      <c r="O147" s="4" t="s">
        <v>625</v>
      </c>
      <c r="P147" s="5">
        <v>0.18</v>
      </c>
      <c r="Q147" s="14">
        <f>PMT($AB$81/12,$AB$84,-$AB$80)</f>
        <v>8938.4864543423992</v>
      </c>
      <c r="R147" s="4" t="s">
        <v>635</v>
      </c>
      <c r="S147" s="2" t="s">
        <v>12</v>
      </c>
    </row>
    <row r="148" spans="1:19" x14ac:dyDescent="0.3">
      <c r="A148" s="4">
        <v>147</v>
      </c>
      <c r="B148" s="4" t="s">
        <v>167</v>
      </c>
      <c r="C148" s="4" t="s">
        <v>11</v>
      </c>
      <c r="D148" s="4" t="s">
        <v>17</v>
      </c>
      <c r="E148" s="4" t="s">
        <v>13</v>
      </c>
      <c r="F148" s="4" t="s">
        <v>12</v>
      </c>
      <c r="G148" s="4">
        <v>50000</v>
      </c>
      <c r="H148" s="4">
        <v>30000</v>
      </c>
      <c r="I148" s="13">
        <v>2000000</v>
      </c>
      <c r="J148" s="4">
        <v>60</v>
      </c>
      <c r="K148" s="4">
        <v>1</v>
      </c>
      <c r="L148" s="4" t="s">
        <v>27</v>
      </c>
      <c r="M148" s="4" t="s">
        <v>15</v>
      </c>
      <c r="N148" s="4" t="s">
        <v>623</v>
      </c>
      <c r="O148" s="4" t="s">
        <v>625</v>
      </c>
      <c r="P148" s="5">
        <v>0.18</v>
      </c>
      <c r="Q148" s="14">
        <f>PMT($V$27/12,$V$30,-$V$26)</f>
        <v>50786.854854218167</v>
      </c>
      <c r="R148" s="4">
        <v>800000</v>
      </c>
      <c r="S148" s="2" t="s">
        <v>12</v>
      </c>
    </row>
    <row r="149" spans="1:19" x14ac:dyDescent="0.3">
      <c r="A149" s="4">
        <v>148</v>
      </c>
      <c r="B149" s="4" t="s">
        <v>168</v>
      </c>
      <c r="C149" s="4" t="s">
        <v>11</v>
      </c>
      <c r="D149" s="4" t="s">
        <v>12</v>
      </c>
      <c r="E149" s="4" t="s">
        <v>13</v>
      </c>
      <c r="F149" s="4" t="s">
        <v>12</v>
      </c>
      <c r="G149" s="4">
        <v>65000</v>
      </c>
      <c r="H149" s="4">
        <v>20000</v>
      </c>
      <c r="I149" s="13">
        <v>800000</v>
      </c>
      <c r="J149" s="4">
        <v>60</v>
      </c>
      <c r="K149" s="4">
        <v>0</v>
      </c>
      <c r="L149" s="4" t="s">
        <v>18</v>
      </c>
      <c r="M149" s="4" t="s">
        <v>19</v>
      </c>
      <c r="N149" s="4" t="s">
        <v>623</v>
      </c>
      <c r="O149" s="4" t="s">
        <v>625</v>
      </c>
      <c r="P149" s="5">
        <v>0.18</v>
      </c>
      <c r="Q149" s="14">
        <f>PMT($V$33/12,$V$36,-$V$32)</f>
        <v>20314.741941687265</v>
      </c>
      <c r="R149" s="4">
        <v>860000</v>
      </c>
      <c r="S149" s="2" t="s">
        <v>17</v>
      </c>
    </row>
    <row r="150" spans="1:19" x14ac:dyDescent="0.3">
      <c r="A150" s="4">
        <v>149</v>
      </c>
      <c r="B150" s="4" t="s">
        <v>169</v>
      </c>
      <c r="C150" s="4" t="s">
        <v>11</v>
      </c>
      <c r="D150" s="4" t="s">
        <v>17</v>
      </c>
      <c r="E150" s="4" t="s">
        <v>13</v>
      </c>
      <c r="F150" s="4" t="s">
        <v>17</v>
      </c>
      <c r="G150" s="4">
        <v>55000</v>
      </c>
      <c r="H150" s="4">
        <v>25000</v>
      </c>
      <c r="I150" s="13">
        <v>1000000</v>
      </c>
      <c r="J150" s="4">
        <v>60</v>
      </c>
      <c r="K150" s="4">
        <v>1</v>
      </c>
      <c r="L150" s="4" t="s">
        <v>18</v>
      </c>
      <c r="M150" s="4" t="s">
        <v>15</v>
      </c>
      <c r="N150" s="4" t="s">
        <v>623</v>
      </c>
      <c r="O150" s="4" t="s">
        <v>625</v>
      </c>
      <c r="P150" s="5">
        <v>0.18</v>
      </c>
      <c r="Q150" s="14">
        <f>PMT($V$3/12,$V$6,-$V$2)</f>
        <v>25393.427427109084</v>
      </c>
      <c r="R150" s="4">
        <v>760000</v>
      </c>
      <c r="S150" s="2" t="s">
        <v>12</v>
      </c>
    </row>
    <row r="151" spans="1:19" x14ac:dyDescent="0.3">
      <c r="A151" s="4">
        <v>150</v>
      </c>
      <c r="B151" s="4" t="s">
        <v>170</v>
      </c>
      <c r="C151" s="4" t="s">
        <v>11</v>
      </c>
      <c r="D151" s="4" t="s">
        <v>12</v>
      </c>
      <c r="E151" s="4" t="s">
        <v>13</v>
      </c>
      <c r="F151" s="4" t="s">
        <v>12</v>
      </c>
      <c r="G151" s="4">
        <v>85000</v>
      </c>
      <c r="H151" s="4">
        <v>0</v>
      </c>
      <c r="I151" s="13">
        <v>2000000</v>
      </c>
      <c r="J151" s="4">
        <v>60</v>
      </c>
      <c r="K151" s="4">
        <v>1</v>
      </c>
      <c r="L151" s="4" t="s">
        <v>14</v>
      </c>
      <c r="M151" s="4" t="s">
        <v>19</v>
      </c>
      <c r="N151" s="4" t="s">
        <v>623</v>
      </c>
      <c r="O151" s="4" t="s">
        <v>625</v>
      </c>
      <c r="P151" s="5">
        <v>0.18</v>
      </c>
      <c r="Q151" s="14">
        <f>PMT($V$27/12,$V$30,-$V$26)</f>
        <v>50786.854854218167</v>
      </c>
      <c r="R151" s="4">
        <v>700000</v>
      </c>
      <c r="S151" s="2" t="s">
        <v>12</v>
      </c>
    </row>
    <row r="152" spans="1:19" x14ac:dyDescent="0.3">
      <c r="A152" s="4">
        <v>151</v>
      </c>
      <c r="B152" s="4" t="s">
        <v>171</v>
      </c>
      <c r="C152" s="4" t="s">
        <v>11</v>
      </c>
      <c r="D152" s="4" t="s">
        <v>17</v>
      </c>
      <c r="E152" s="4" t="s">
        <v>22</v>
      </c>
      <c r="F152" s="4" t="s">
        <v>12</v>
      </c>
      <c r="G152" s="4">
        <v>85000</v>
      </c>
      <c r="H152" s="4">
        <v>30000</v>
      </c>
      <c r="I152" s="13">
        <v>1500000</v>
      </c>
      <c r="J152" s="4">
        <v>60</v>
      </c>
      <c r="K152" s="4">
        <v>1</v>
      </c>
      <c r="L152" s="4" t="s">
        <v>18</v>
      </c>
      <c r="M152" s="4" t="s">
        <v>19</v>
      </c>
      <c r="N152" s="4" t="s">
        <v>623</v>
      </c>
      <c r="O152" s="4" t="s">
        <v>625</v>
      </c>
      <c r="P152" s="5">
        <v>0.18</v>
      </c>
      <c r="Q152" s="14">
        <f>PMT($V$9/12,$V$12,-$V$8)</f>
        <v>38090.141140663625</v>
      </c>
      <c r="R152" s="4">
        <v>930000</v>
      </c>
      <c r="S152" s="2" t="s">
        <v>12</v>
      </c>
    </row>
    <row r="153" spans="1:19" x14ac:dyDescent="0.3">
      <c r="A153" s="4">
        <v>152</v>
      </c>
      <c r="B153" s="4" t="s">
        <v>172</v>
      </c>
      <c r="C153" s="4" t="s">
        <v>11</v>
      </c>
      <c r="D153" s="4" t="s">
        <v>12</v>
      </c>
      <c r="E153" s="4" t="s">
        <v>13</v>
      </c>
      <c r="F153" s="4" t="s">
        <v>12</v>
      </c>
      <c r="G153" s="4">
        <v>45000</v>
      </c>
      <c r="H153" s="4">
        <v>40000</v>
      </c>
      <c r="I153" s="13">
        <v>1000000</v>
      </c>
      <c r="J153" s="4">
        <v>60</v>
      </c>
      <c r="K153" s="4">
        <v>1</v>
      </c>
      <c r="L153" s="4" t="s">
        <v>14</v>
      </c>
      <c r="M153" s="4" t="s">
        <v>15</v>
      </c>
      <c r="N153" s="4" t="s">
        <v>623</v>
      </c>
      <c r="O153" s="4" t="s">
        <v>625</v>
      </c>
      <c r="P153" s="5">
        <v>0.18</v>
      </c>
      <c r="Q153" s="14">
        <f>PMT($V$3/12,$V$6,-$V$2)</f>
        <v>25393.427427109084</v>
      </c>
      <c r="R153" s="4">
        <v>890000</v>
      </c>
      <c r="S153" s="2" t="s">
        <v>17</v>
      </c>
    </row>
    <row r="154" spans="1:19" x14ac:dyDescent="0.3">
      <c r="A154" s="4">
        <v>153</v>
      </c>
      <c r="B154" s="4" t="s">
        <v>173</v>
      </c>
      <c r="C154" s="4" t="s">
        <v>11</v>
      </c>
      <c r="D154" s="4" t="s">
        <v>17</v>
      </c>
      <c r="E154" s="4" t="s">
        <v>13</v>
      </c>
      <c r="F154" s="4" t="s">
        <v>12</v>
      </c>
      <c r="G154" s="4">
        <v>25000</v>
      </c>
      <c r="H154" s="4">
        <v>0</v>
      </c>
      <c r="I154" s="13">
        <v>500000</v>
      </c>
      <c r="J154" s="4">
        <v>60</v>
      </c>
      <c r="K154" s="4">
        <v>0</v>
      </c>
      <c r="L154" s="4" t="s">
        <v>27</v>
      </c>
      <c r="M154" s="4" t="s">
        <v>15</v>
      </c>
      <c r="N154" s="4" t="s">
        <v>623</v>
      </c>
      <c r="O154" s="4" t="s">
        <v>625</v>
      </c>
      <c r="P154" s="5">
        <v>0.18</v>
      </c>
      <c r="Q154" s="14">
        <f t="shared" ref="Q154:Q155" si="11">PMT($V$15/12,$V$18,-$V$14)</f>
        <v>12696.713713554542</v>
      </c>
      <c r="R154" s="4">
        <v>300000</v>
      </c>
      <c r="S154" s="2" t="s">
        <v>12</v>
      </c>
    </row>
    <row r="155" spans="1:19" x14ac:dyDescent="0.3">
      <c r="A155" s="4">
        <v>154</v>
      </c>
      <c r="B155" s="4" t="s">
        <v>174</v>
      </c>
      <c r="C155" s="4" t="s">
        <v>11</v>
      </c>
      <c r="D155" s="4" t="s">
        <v>17</v>
      </c>
      <c r="E155" s="4" t="s">
        <v>13</v>
      </c>
      <c r="F155" s="4" t="s">
        <v>12</v>
      </c>
      <c r="G155" s="4">
        <v>50000</v>
      </c>
      <c r="H155" s="4">
        <v>0</v>
      </c>
      <c r="I155" s="13">
        <v>500000</v>
      </c>
      <c r="J155" s="4">
        <v>60</v>
      </c>
      <c r="K155" s="4">
        <v>0</v>
      </c>
      <c r="L155" s="4" t="s">
        <v>18</v>
      </c>
      <c r="M155" s="4" t="s">
        <v>15</v>
      </c>
      <c r="N155" s="4" t="s">
        <v>623</v>
      </c>
      <c r="O155" s="4" t="s">
        <v>625</v>
      </c>
      <c r="P155" s="5">
        <v>0.18</v>
      </c>
      <c r="Q155" s="14">
        <f t="shared" si="11"/>
        <v>12696.713713554542</v>
      </c>
      <c r="R155" s="4">
        <v>400000</v>
      </c>
      <c r="S155" s="2" t="s">
        <v>12</v>
      </c>
    </row>
    <row r="156" spans="1:19" x14ac:dyDescent="0.3">
      <c r="A156" s="4">
        <v>155</v>
      </c>
      <c r="B156" s="4" t="s">
        <v>175</v>
      </c>
      <c r="C156" s="4" t="s">
        <v>11</v>
      </c>
      <c r="D156" s="4" t="s">
        <v>17</v>
      </c>
      <c r="E156" s="4" t="s">
        <v>13</v>
      </c>
      <c r="F156" s="4" t="s">
        <v>12</v>
      </c>
      <c r="G156" s="4">
        <v>15000</v>
      </c>
      <c r="H156" s="4">
        <v>10000</v>
      </c>
      <c r="I156" s="13">
        <v>600000</v>
      </c>
      <c r="J156" s="4">
        <v>60</v>
      </c>
      <c r="K156" s="4">
        <v>1</v>
      </c>
      <c r="L156" s="4" t="s">
        <v>14</v>
      </c>
      <c r="M156" s="4" t="s">
        <v>15</v>
      </c>
      <c r="N156" s="4" t="s">
        <v>623</v>
      </c>
      <c r="O156" s="4" t="s">
        <v>625</v>
      </c>
      <c r="P156" s="5">
        <v>0.18</v>
      </c>
      <c r="Q156" s="14">
        <f>PMT($V$39/12,$V$42,-$V$38)</f>
        <v>15236.056456265451</v>
      </c>
      <c r="R156" s="4">
        <v>150000</v>
      </c>
      <c r="S156" s="2" t="s">
        <v>12</v>
      </c>
    </row>
    <row r="157" spans="1:19" x14ac:dyDescent="0.3">
      <c r="A157" s="4">
        <v>156</v>
      </c>
      <c r="B157" s="4" t="s">
        <v>176</v>
      </c>
      <c r="C157" s="4" t="s">
        <v>11</v>
      </c>
      <c r="D157" s="4" t="s">
        <v>12</v>
      </c>
      <c r="E157" s="4" t="s">
        <v>13</v>
      </c>
      <c r="F157" s="4" t="s">
        <v>17</v>
      </c>
      <c r="G157" s="4">
        <v>150000</v>
      </c>
      <c r="H157" s="4">
        <v>0</v>
      </c>
      <c r="I157" s="13">
        <v>2000000</v>
      </c>
      <c r="J157" s="4">
        <v>60</v>
      </c>
      <c r="K157" s="4">
        <v>1</v>
      </c>
      <c r="L157" s="4" t="s">
        <v>18</v>
      </c>
      <c r="M157" s="4" t="s">
        <v>15</v>
      </c>
      <c r="N157" s="4" t="s">
        <v>623</v>
      </c>
      <c r="O157" s="4" t="s">
        <v>625</v>
      </c>
      <c r="P157" s="5">
        <v>0.18</v>
      </c>
      <c r="Q157" s="14">
        <f>PMT($V$27/12,$V$30,-$V$26)</f>
        <v>50786.854854218167</v>
      </c>
      <c r="R157" s="4">
        <v>970000</v>
      </c>
      <c r="S157" s="2" t="s">
        <v>12</v>
      </c>
    </row>
    <row r="158" spans="1:19" x14ac:dyDescent="0.3">
      <c r="A158" s="4">
        <v>157</v>
      </c>
      <c r="B158" s="4" t="s">
        <v>177</v>
      </c>
      <c r="C158" s="4" t="s">
        <v>11</v>
      </c>
      <c r="D158" s="4" t="s">
        <v>17</v>
      </c>
      <c r="E158" s="4" t="s">
        <v>13</v>
      </c>
      <c r="F158" s="4" t="s">
        <v>12</v>
      </c>
      <c r="G158" s="4">
        <v>20000</v>
      </c>
      <c r="H158" s="4">
        <v>10000</v>
      </c>
      <c r="I158" s="13">
        <v>756201</v>
      </c>
      <c r="J158" s="4">
        <v>60</v>
      </c>
      <c r="K158" s="4">
        <v>1</v>
      </c>
      <c r="L158" s="4" t="s">
        <v>27</v>
      </c>
      <c r="M158" s="4" t="s">
        <v>15</v>
      </c>
      <c r="N158" s="4" t="s">
        <v>623</v>
      </c>
      <c r="O158" s="4" t="s">
        <v>625</v>
      </c>
      <c r="P158" s="5">
        <v>0.18</v>
      </c>
      <c r="Q158" s="14">
        <f>PMT($Y$3/12,$Y$6,-$Y$2)</f>
        <v>19202.535213807318</v>
      </c>
      <c r="R158" s="4">
        <v>150000</v>
      </c>
      <c r="S158" s="2" t="s">
        <v>12</v>
      </c>
    </row>
    <row r="159" spans="1:19" x14ac:dyDescent="0.3">
      <c r="A159" s="4">
        <v>158</v>
      </c>
      <c r="B159" s="4" t="s">
        <v>178</v>
      </c>
      <c r="C159" s="4" t="s">
        <v>11</v>
      </c>
      <c r="D159" s="4" t="s">
        <v>17</v>
      </c>
      <c r="E159" s="4" t="s">
        <v>22</v>
      </c>
      <c r="F159" s="4" t="s">
        <v>12</v>
      </c>
      <c r="G159" s="4">
        <v>50000</v>
      </c>
      <c r="H159" s="4">
        <v>25000</v>
      </c>
      <c r="I159" s="13">
        <v>200000</v>
      </c>
      <c r="J159" s="4">
        <v>60</v>
      </c>
      <c r="K159" s="4">
        <v>1</v>
      </c>
      <c r="L159" s="4" t="s">
        <v>27</v>
      </c>
      <c r="M159" s="4" t="s">
        <v>15</v>
      </c>
      <c r="N159" s="4" t="s">
        <v>623</v>
      </c>
      <c r="O159" s="4" t="s">
        <v>625</v>
      </c>
      <c r="P159" s="5">
        <v>0.18</v>
      </c>
      <c r="Q159" s="14">
        <f>PMT($Y$9/12,$Y$12,-$Y$8)</f>
        <v>5078.6854854218163</v>
      </c>
      <c r="R159" s="4">
        <v>590000</v>
      </c>
      <c r="S159" s="2" t="s">
        <v>12</v>
      </c>
    </row>
    <row r="160" spans="1:19" x14ac:dyDescent="0.3">
      <c r="A160" s="4">
        <v>159</v>
      </c>
      <c r="B160" s="4" t="s">
        <v>179</v>
      </c>
      <c r="C160" s="4" t="s">
        <v>11</v>
      </c>
      <c r="D160" s="4" t="s">
        <v>17</v>
      </c>
      <c r="E160" s="4" t="s">
        <v>13</v>
      </c>
      <c r="F160" s="4" t="s">
        <v>12</v>
      </c>
      <c r="G160" s="4">
        <v>48550</v>
      </c>
      <c r="H160" s="4">
        <v>54800</v>
      </c>
      <c r="I160" s="13">
        <v>748890</v>
      </c>
      <c r="J160" s="4">
        <v>60</v>
      </c>
      <c r="K160" s="4">
        <v>1</v>
      </c>
      <c r="L160" s="4" t="s">
        <v>14</v>
      </c>
      <c r="M160" s="4" t="s">
        <v>19</v>
      </c>
      <c r="N160" s="4" t="s">
        <v>623</v>
      </c>
      <c r="O160" s="4" t="s">
        <v>625</v>
      </c>
      <c r="P160" s="5">
        <v>0.18</v>
      </c>
      <c r="Q160" s="14">
        <f>PMT($Y$63/12,$Y$66,-$Y$62)</f>
        <v>19016.883865887721</v>
      </c>
      <c r="R160" s="4">
        <v>640000</v>
      </c>
      <c r="S160" s="2" t="s">
        <v>12</v>
      </c>
    </row>
    <row r="161" spans="1:19" x14ac:dyDescent="0.3">
      <c r="A161" s="4">
        <v>160</v>
      </c>
      <c r="B161" s="4" t="s">
        <v>180</v>
      </c>
      <c r="C161" s="4" t="s">
        <v>11</v>
      </c>
      <c r="D161" s="4" t="s">
        <v>17</v>
      </c>
      <c r="E161" s="4" t="s">
        <v>13</v>
      </c>
      <c r="F161" s="4" t="s">
        <v>12</v>
      </c>
      <c r="G161" s="4">
        <v>150000</v>
      </c>
      <c r="H161" s="4">
        <v>0</v>
      </c>
      <c r="I161" s="13">
        <v>1500000</v>
      </c>
      <c r="J161" s="4">
        <v>60</v>
      </c>
      <c r="K161" s="4">
        <v>0</v>
      </c>
      <c r="L161" s="4" t="s">
        <v>27</v>
      </c>
      <c r="M161" s="4" t="s">
        <v>19</v>
      </c>
      <c r="N161" s="4" t="s">
        <v>623</v>
      </c>
      <c r="O161" s="4" t="s">
        <v>625</v>
      </c>
      <c r="P161" s="5">
        <v>0.18</v>
      </c>
      <c r="Q161" s="14">
        <f>PMT($V$9/12,$V$12,-$V$8)</f>
        <v>38090.141140663625</v>
      </c>
      <c r="R161" s="4">
        <v>840000</v>
      </c>
      <c r="S161" s="2" t="s">
        <v>12</v>
      </c>
    </row>
    <row r="162" spans="1:19" x14ac:dyDescent="0.3">
      <c r="A162" s="4">
        <v>161</v>
      </c>
      <c r="B162" s="4" t="s">
        <v>181</v>
      </c>
      <c r="C162" s="4" t="s">
        <v>11</v>
      </c>
      <c r="D162" s="4" t="s">
        <v>17</v>
      </c>
      <c r="E162" s="4" t="s">
        <v>13</v>
      </c>
      <c r="F162" s="4" t="s">
        <v>12</v>
      </c>
      <c r="G162" s="4">
        <v>50000</v>
      </c>
      <c r="H162" s="4">
        <v>0</v>
      </c>
      <c r="I162" s="13">
        <v>1000000</v>
      </c>
      <c r="J162" s="4">
        <v>60</v>
      </c>
      <c r="K162" s="4">
        <v>1</v>
      </c>
      <c r="L162" s="4" t="s">
        <v>18</v>
      </c>
      <c r="M162" s="4" t="s">
        <v>15</v>
      </c>
      <c r="N162" s="4" t="s">
        <v>623</v>
      </c>
      <c r="O162" s="4" t="s">
        <v>625</v>
      </c>
      <c r="P162" s="5">
        <v>0.18</v>
      </c>
      <c r="Q162" s="14">
        <f>PMT($V$3/12,$V$6,-$V$2)</f>
        <v>25393.427427109084</v>
      </c>
      <c r="R162" s="4">
        <v>400000</v>
      </c>
      <c r="S162" s="2" t="s">
        <v>12</v>
      </c>
    </row>
    <row r="163" spans="1:19" x14ac:dyDescent="0.3">
      <c r="A163" s="4">
        <v>162</v>
      </c>
      <c r="B163" s="4" t="s">
        <v>182</v>
      </c>
      <c r="C163" s="4" t="s">
        <v>11</v>
      </c>
      <c r="D163" s="4" t="s">
        <v>17</v>
      </c>
      <c r="E163" s="4" t="s">
        <v>13</v>
      </c>
      <c r="F163" s="4" t="s">
        <v>12</v>
      </c>
      <c r="G163" s="4">
        <v>100000</v>
      </c>
      <c r="H163" s="4">
        <v>35000</v>
      </c>
      <c r="I163" s="13">
        <v>1500000</v>
      </c>
      <c r="J163" s="4">
        <v>60</v>
      </c>
      <c r="K163" s="4">
        <v>1</v>
      </c>
      <c r="L163" s="4" t="s">
        <v>14</v>
      </c>
      <c r="M163" s="4" t="s">
        <v>15</v>
      </c>
      <c r="N163" s="4" t="s">
        <v>623</v>
      </c>
      <c r="O163" s="4" t="s">
        <v>625</v>
      </c>
      <c r="P163" s="5">
        <v>0.18</v>
      </c>
      <c r="Q163" s="14">
        <f t="shared" ref="Q163:Q164" si="12">PMT($V$9/12,$V$12,-$V$8)</f>
        <v>38090.141140663625</v>
      </c>
      <c r="R163" s="4">
        <v>1000000</v>
      </c>
      <c r="S163" s="2" t="s">
        <v>17</v>
      </c>
    </row>
    <row r="164" spans="1:19" x14ac:dyDescent="0.3">
      <c r="A164" s="4">
        <v>163</v>
      </c>
      <c r="B164" s="4" t="s">
        <v>183</v>
      </c>
      <c r="C164" s="4" t="s">
        <v>11</v>
      </c>
      <c r="D164" s="4" t="s">
        <v>17</v>
      </c>
      <c r="E164" s="4" t="s">
        <v>13</v>
      </c>
      <c r="F164" s="4" t="s">
        <v>12</v>
      </c>
      <c r="G164" s="4">
        <v>80000</v>
      </c>
      <c r="H164" s="4">
        <v>0</v>
      </c>
      <c r="I164" s="13">
        <v>1500000</v>
      </c>
      <c r="J164" s="4">
        <v>60</v>
      </c>
      <c r="K164" s="4">
        <v>1</v>
      </c>
      <c r="L164" s="4" t="s">
        <v>18</v>
      </c>
      <c r="M164" s="4" t="s">
        <v>15</v>
      </c>
      <c r="N164" s="4" t="s">
        <v>623</v>
      </c>
      <c r="O164" s="4" t="s">
        <v>625</v>
      </c>
      <c r="P164" s="5">
        <v>0.18</v>
      </c>
      <c r="Q164" s="14">
        <f t="shared" si="12"/>
        <v>38090.141140663625</v>
      </c>
      <c r="R164" s="4">
        <v>710000</v>
      </c>
      <c r="S164" s="2" t="s">
        <v>12</v>
      </c>
    </row>
    <row r="165" spans="1:19" x14ac:dyDescent="0.3">
      <c r="A165" s="4">
        <v>164</v>
      </c>
      <c r="B165" s="4" t="s">
        <v>184</v>
      </c>
      <c r="C165" s="4" t="s">
        <v>38</v>
      </c>
      <c r="D165" s="4" t="s">
        <v>17</v>
      </c>
      <c r="E165" s="4" t="s">
        <v>13</v>
      </c>
      <c r="F165" s="4" t="s">
        <v>12</v>
      </c>
      <c r="G165" s="4">
        <v>50000</v>
      </c>
      <c r="H165" s="4">
        <v>0</v>
      </c>
      <c r="I165" s="13">
        <v>500000</v>
      </c>
      <c r="J165" s="4">
        <v>60</v>
      </c>
      <c r="K165" s="4">
        <v>1</v>
      </c>
      <c r="L165" s="4" t="s">
        <v>18</v>
      </c>
      <c r="M165" s="4" t="s">
        <v>19</v>
      </c>
      <c r="N165" s="4" t="s">
        <v>623</v>
      </c>
      <c r="O165" s="4" t="s">
        <v>625</v>
      </c>
      <c r="P165" s="5">
        <v>0.18</v>
      </c>
      <c r="Q165" s="14">
        <f>PMT($V$15/12,$V$18,-$V$14)</f>
        <v>12696.713713554542</v>
      </c>
      <c r="R165" s="4">
        <v>400000</v>
      </c>
      <c r="S165" s="2" t="s">
        <v>12</v>
      </c>
    </row>
    <row r="166" spans="1:19" x14ac:dyDescent="0.3">
      <c r="A166" s="4">
        <v>165</v>
      </c>
      <c r="B166" s="4" t="s">
        <v>185</v>
      </c>
      <c r="C166" s="4" t="s">
        <v>11</v>
      </c>
      <c r="D166" s="4" t="s">
        <v>17</v>
      </c>
      <c r="E166" s="4" t="s">
        <v>13</v>
      </c>
      <c r="F166" s="4" t="s">
        <v>12</v>
      </c>
      <c r="G166" s="4">
        <v>200000</v>
      </c>
      <c r="H166" s="4">
        <v>50000</v>
      </c>
      <c r="I166" s="13">
        <v>3000000</v>
      </c>
      <c r="J166" s="4">
        <v>60</v>
      </c>
      <c r="K166" s="4">
        <v>1</v>
      </c>
      <c r="L166" s="4" t="s">
        <v>18</v>
      </c>
      <c r="M166" s="4" t="s">
        <v>15</v>
      </c>
      <c r="N166" s="4" t="s">
        <v>623</v>
      </c>
      <c r="O166" s="4" t="s">
        <v>625</v>
      </c>
      <c r="P166" s="5">
        <v>0.18</v>
      </c>
      <c r="Q166" s="14">
        <f>PMT($Y$81/12,$Y$84,-$Y$80)</f>
        <v>76180.282281327251</v>
      </c>
      <c r="R166" s="4">
        <v>1700000</v>
      </c>
      <c r="S166" s="2" t="s">
        <v>12</v>
      </c>
    </row>
    <row r="167" spans="1:19" x14ac:dyDescent="0.3">
      <c r="A167" s="4">
        <v>166</v>
      </c>
      <c r="B167" s="4" t="s">
        <v>186</v>
      </c>
      <c r="C167" s="4" t="s">
        <v>11</v>
      </c>
      <c r="D167" s="4" t="s">
        <v>12</v>
      </c>
      <c r="E167" s="4" t="s">
        <v>13</v>
      </c>
      <c r="F167" s="4" t="s">
        <v>12</v>
      </c>
      <c r="G167" s="4">
        <v>75000</v>
      </c>
      <c r="H167" s="4">
        <v>25000</v>
      </c>
      <c r="I167" s="13">
        <v>1000000</v>
      </c>
      <c r="J167" s="4">
        <v>60</v>
      </c>
      <c r="K167" s="4">
        <v>0</v>
      </c>
      <c r="L167" s="4" t="s">
        <v>27</v>
      </c>
      <c r="M167" s="4" t="s">
        <v>19</v>
      </c>
      <c r="N167" s="4" t="s">
        <v>623</v>
      </c>
      <c r="O167" s="4" t="s">
        <v>625</v>
      </c>
      <c r="P167" s="5">
        <v>0.18</v>
      </c>
      <c r="Q167" s="14">
        <f>PMT($V$3/12,$V$6,-$V$2)</f>
        <v>25393.427427109084</v>
      </c>
      <c r="R167" s="4">
        <v>1000000</v>
      </c>
      <c r="S167" s="2" t="s">
        <v>12</v>
      </c>
    </row>
    <row r="168" spans="1:19" x14ac:dyDescent="0.3">
      <c r="A168" s="4">
        <v>167</v>
      </c>
      <c r="B168" s="4" t="s">
        <v>187</v>
      </c>
      <c r="C168" s="4" t="s">
        <v>11</v>
      </c>
      <c r="D168" s="4" t="s">
        <v>17</v>
      </c>
      <c r="E168" s="4" t="s">
        <v>13</v>
      </c>
      <c r="F168" s="4" t="s">
        <v>12</v>
      </c>
      <c r="G168" s="4">
        <v>50000</v>
      </c>
      <c r="H168" s="4">
        <v>35000</v>
      </c>
      <c r="I168" s="13">
        <v>1500000</v>
      </c>
      <c r="J168" s="4">
        <v>60</v>
      </c>
      <c r="K168" s="4">
        <v>1</v>
      </c>
      <c r="L168" s="4" t="s">
        <v>27</v>
      </c>
      <c r="M168" s="4" t="s">
        <v>15</v>
      </c>
      <c r="N168" s="4" t="s">
        <v>623</v>
      </c>
      <c r="O168" s="4" t="s">
        <v>625</v>
      </c>
      <c r="P168" s="5">
        <v>0.18</v>
      </c>
      <c r="Q168" s="14">
        <f>PMT($V$9/12,$V$12,-$V$8)</f>
        <v>38090.141140663625</v>
      </c>
      <c r="R168" s="4">
        <v>635000</v>
      </c>
      <c r="S168" s="2" t="s">
        <v>17</v>
      </c>
    </row>
    <row r="169" spans="1:19" x14ac:dyDescent="0.3">
      <c r="A169" s="4">
        <v>168</v>
      </c>
      <c r="B169" s="4" t="s">
        <v>188</v>
      </c>
      <c r="C169" s="4" t="s">
        <v>11</v>
      </c>
      <c r="D169" s="4" t="s">
        <v>17</v>
      </c>
      <c r="E169" s="4" t="s">
        <v>22</v>
      </c>
      <c r="F169" s="4" t="s">
        <v>17</v>
      </c>
      <c r="G169" s="4">
        <v>85000</v>
      </c>
      <c r="H169" s="4">
        <v>0</v>
      </c>
      <c r="I169" s="13">
        <v>1000000</v>
      </c>
      <c r="J169" s="4">
        <v>60</v>
      </c>
      <c r="K169" s="4">
        <v>1</v>
      </c>
      <c r="L169" s="4" t="s">
        <v>18</v>
      </c>
      <c r="M169" s="4" t="s">
        <v>15</v>
      </c>
      <c r="N169" s="4" t="s">
        <v>623</v>
      </c>
      <c r="O169" s="4" t="s">
        <v>625</v>
      </c>
      <c r="P169" s="5">
        <v>0.18</v>
      </c>
      <c r="Q169" s="14">
        <f>PMT($V$3/12,$V$6,-$V$2)</f>
        <v>25393.427427109084</v>
      </c>
      <c r="R169" s="4">
        <v>600000</v>
      </c>
      <c r="S169" s="2" t="s">
        <v>12</v>
      </c>
    </row>
    <row r="170" spans="1:19" x14ac:dyDescent="0.3">
      <c r="A170" s="4">
        <v>169</v>
      </c>
      <c r="B170" s="4" t="s">
        <v>189</v>
      </c>
      <c r="C170" s="4" t="s">
        <v>11</v>
      </c>
      <c r="D170" s="4" t="s">
        <v>17</v>
      </c>
      <c r="E170" s="4" t="s">
        <v>22</v>
      </c>
      <c r="F170" s="4" t="s">
        <v>12</v>
      </c>
      <c r="G170" s="4">
        <v>50000</v>
      </c>
      <c r="H170" s="4">
        <v>30000</v>
      </c>
      <c r="I170" s="13">
        <v>2000000</v>
      </c>
      <c r="J170" s="4">
        <v>60</v>
      </c>
      <c r="K170" s="4">
        <v>1</v>
      </c>
      <c r="L170" s="4" t="s">
        <v>18</v>
      </c>
      <c r="M170" s="4" t="s">
        <v>19</v>
      </c>
      <c r="N170" s="4" t="s">
        <v>623</v>
      </c>
      <c r="O170" s="4" t="s">
        <v>625</v>
      </c>
      <c r="P170" s="5">
        <v>0.18</v>
      </c>
      <c r="Q170" s="14">
        <f>PMT($V$27/12,$V$30,-$V$26)</f>
        <v>50786.854854218167</v>
      </c>
      <c r="R170" s="4">
        <v>600000</v>
      </c>
      <c r="S170" s="2" t="s">
        <v>17</v>
      </c>
    </row>
    <row r="171" spans="1:19" x14ac:dyDescent="0.3">
      <c r="A171" s="4">
        <v>170</v>
      </c>
      <c r="B171" s="4" t="s">
        <v>190</v>
      </c>
      <c r="C171" s="4" t="s">
        <v>11</v>
      </c>
      <c r="D171" s="4" t="s">
        <v>17</v>
      </c>
      <c r="E171" s="4" t="s">
        <v>13</v>
      </c>
      <c r="F171" s="4" t="s">
        <v>12</v>
      </c>
      <c r="G171" s="4">
        <v>65000</v>
      </c>
      <c r="H171" s="4">
        <v>20000</v>
      </c>
      <c r="I171" s="13">
        <v>800000</v>
      </c>
      <c r="J171" s="4">
        <v>60</v>
      </c>
      <c r="K171" s="4">
        <v>1</v>
      </c>
      <c r="L171" s="4" t="s">
        <v>27</v>
      </c>
      <c r="M171" s="4" t="s">
        <v>15</v>
      </c>
      <c r="N171" s="4" t="s">
        <v>623</v>
      </c>
      <c r="O171" s="4" t="s">
        <v>625</v>
      </c>
      <c r="P171" s="5">
        <v>0.18</v>
      </c>
      <c r="Q171" s="14">
        <f>PMT($V$33/12,$V$36,-$V$32)</f>
        <v>20314.741941687265</v>
      </c>
      <c r="R171" s="4">
        <v>645000</v>
      </c>
      <c r="S171" s="2" t="s">
        <v>12</v>
      </c>
    </row>
    <row r="172" spans="1:19" x14ac:dyDescent="0.3">
      <c r="A172" s="4">
        <v>171</v>
      </c>
      <c r="B172" s="4" t="s">
        <v>191</v>
      </c>
      <c r="C172" s="4" t="s">
        <v>11</v>
      </c>
      <c r="D172" s="4" t="s">
        <v>17</v>
      </c>
      <c r="E172" s="4" t="s">
        <v>22</v>
      </c>
      <c r="F172" s="4" t="s">
        <v>17</v>
      </c>
      <c r="G172" s="4">
        <v>55000</v>
      </c>
      <c r="H172" s="4">
        <v>25000</v>
      </c>
      <c r="I172" s="13">
        <v>1000000</v>
      </c>
      <c r="J172" s="4">
        <v>60</v>
      </c>
      <c r="K172" s="4">
        <v>1</v>
      </c>
      <c r="L172" s="4" t="s">
        <v>27</v>
      </c>
      <c r="M172" s="4" t="s">
        <v>19</v>
      </c>
      <c r="N172" s="4" t="s">
        <v>623</v>
      </c>
      <c r="O172" s="4" t="s">
        <v>625</v>
      </c>
      <c r="P172" s="5">
        <v>0.18</v>
      </c>
      <c r="Q172" s="14">
        <f t="shared" ref="Q172:Q173" si="13">PMT($V$3/12,$V$6,-$V$2)</f>
        <v>25393.427427109084</v>
      </c>
      <c r="R172" s="4">
        <v>543000</v>
      </c>
      <c r="S172" s="2" t="s">
        <v>12</v>
      </c>
    </row>
    <row r="173" spans="1:19" x14ac:dyDescent="0.3">
      <c r="A173" s="4">
        <v>172</v>
      </c>
      <c r="B173" s="4" t="s">
        <v>192</v>
      </c>
      <c r="C173" s="4" t="s">
        <v>11</v>
      </c>
      <c r="D173" s="4" t="s">
        <v>17</v>
      </c>
      <c r="E173" s="4" t="s">
        <v>13</v>
      </c>
      <c r="F173" s="4" t="s">
        <v>12</v>
      </c>
      <c r="G173" s="4">
        <v>50000</v>
      </c>
      <c r="H173" s="4">
        <v>0</v>
      </c>
      <c r="I173" s="13">
        <v>1000000</v>
      </c>
      <c r="J173" s="4">
        <v>60</v>
      </c>
      <c r="K173" s="4">
        <v>1</v>
      </c>
      <c r="L173" s="4" t="s">
        <v>18</v>
      </c>
      <c r="M173" s="4" t="s">
        <v>15</v>
      </c>
      <c r="N173" s="4" t="s">
        <v>623</v>
      </c>
      <c r="O173" s="4" t="s">
        <v>625</v>
      </c>
      <c r="P173" s="5">
        <v>0.18</v>
      </c>
      <c r="Q173" s="14">
        <f t="shared" si="13"/>
        <v>25393.427427109084</v>
      </c>
      <c r="R173" s="4">
        <v>400000</v>
      </c>
      <c r="S173" s="2" t="s">
        <v>17</v>
      </c>
    </row>
    <row r="174" spans="1:19" x14ac:dyDescent="0.3">
      <c r="A174" s="4">
        <v>173</v>
      </c>
      <c r="B174" s="4" t="s">
        <v>193</v>
      </c>
      <c r="C174" s="4" t="s">
        <v>11</v>
      </c>
      <c r="D174" s="4" t="s">
        <v>17</v>
      </c>
      <c r="E174" s="4" t="s">
        <v>13</v>
      </c>
      <c r="F174" s="4" t="s">
        <v>12</v>
      </c>
      <c r="G174" s="4">
        <v>100000</v>
      </c>
      <c r="H174" s="4">
        <v>35000</v>
      </c>
      <c r="I174" s="13">
        <v>1500000</v>
      </c>
      <c r="J174" s="4">
        <v>60</v>
      </c>
      <c r="K174" s="4">
        <v>1</v>
      </c>
      <c r="L174" s="4" t="s">
        <v>18</v>
      </c>
      <c r="M174" s="4" t="s">
        <v>15</v>
      </c>
      <c r="N174" s="4" t="s">
        <v>623</v>
      </c>
      <c r="O174" s="4" t="s">
        <v>625</v>
      </c>
      <c r="P174" s="5">
        <v>0.18</v>
      </c>
      <c r="Q174" s="14">
        <f t="shared" ref="Q174:Q175" si="14">PMT($V$9/12,$V$12,-$V$8)</f>
        <v>38090.141140663625</v>
      </c>
      <c r="R174" s="4">
        <v>1000000</v>
      </c>
      <c r="S174" s="2" t="s">
        <v>12</v>
      </c>
    </row>
    <row r="175" spans="1:19" x14ac:dyDescent="0.3">
      <c r="A175" s="4">
        <v>174</v>
      </c>
      <c r="B175" s="4" t="s">
        <v>194</v>
      </c>
      <c r="C175" s="4" t="s">
        <v>11</v>
      </c>
      <c r="D175" s="4" t="s">
        <v>17</v>
      </c>
      <c r="E175" s="4" t="s">
        <v>13</v>
      </c>
      <c r="F175" s="4" t="s">
        <v>12</v>
      </c>
      <c r="G175" s="4">
        <v>80000</v>
      </c>
      <c r="H175" s="4">
        <v>0</v>
      </c>
      <c r="I175" s="13">
        <v>1500000</v>
      </c>
      <c r="J175" s="4">
        <v>60</v>
      </c>
      <c r="K175" s="4">
        <v>0</v>
      </c>
      <c r="L175" s="4" t="s">
        <v>27</v>
      </c>
      <c r="M175" s="4" t="s">
        <v>19</v>
      </c>
      <c r="N175" s="4" t="s">
        <v>623</v>
      </c>
      <c r="O175" s="4" t="s">
        <v>625</v>
      </c>
      <c r="P175" s="5">
        <v>0.18</v>
      </c>
      <c r="Q175" s="14">
        <f t="shared" si="14"/>
        <v>38090.141140663625</v>
      </c>
      <c r="R175" s="4">
        <v>700000</v>
      </c>
      <c r="S175" s="2" t="s">
        <v>17</v>
      </c>
    </row>
    <row r="176" spans="1:19" x14ac:dyDescent="0.3">
      <c r="A176" s="4">
        <v>175</v>
      </c>
      <c r="B176" s="4" t="s">
        <v>195</v>
      </c>
      <c r="C176" s="4" t="s">
        <v>11</v>
      </c>
      <c r="D176" s="4" t="s">
        <v>17</v>
      </c>
      <c r="E176" s="4" t="s">
        <v>13</v>
      </c>
      <c r="F176" s="4" t="s">
        <v>12</v>
      </c>
      <c r="G176" s="4">
        <v>25000</v>
      </c>
      <c r="H176" s="4">
        <v>10000</v>
      </c>
      <c r="I176" s="13">
        <v>500000</v>
      </c>
      <c r="J176" s="4">
        <v>60</v>
      </c>
      <c r="K176" s="4">
        <v>1</v>
      </c>
      <c r="L176" s="4" t="s">
        <v>27</v>
      </c>
      <c r="M176" s="4" t="s">
        <v>15</v>
      </c>
      <c r="N176" s="4" t="s">
        <v>623</v>
      </c>
      <c r="O176" s="4" t="s">
        <v>625</v>
      </c>
      <c r="P176" s="5">
        <v>0.18</v>
      </c>
      <c r="Q176" s="14">
        <f>PMT($V$15/12,$V$18,-$V$14)</f>
        <v>12696.713713554542</v>
      </c>
      <c r="R176" s="4" t="s">
        <v>635</v>
      </c>
      <c r="S176" s="2" t="s">
        <v>12</v>
      </c>
    </row>
    <row r="177" spans="1:19" x14ac:dyDescent="0.3">
      <c r="A177" s="4">
        <v>176</v>
      </c>
      <c r="B177" s="4" t="s">
        <v>196</v>
      </c>
      <c r="C177" s="4" t="s">
        <v>11</v>
      </c>
      <c r="D177" s="4" t="s">
        <v>12</v>
      </c>
      <c r="E177" s="4" t="s">
        <v>22</v>
      </c>
      <c r="F177" s="4" t="s">
        <v>12</v>
      </c>
      <c r="G177" s="4">
        <v>100000</v>
      </c>
      <c r="H177" s="4">
        <v>35000</v>
      </c>
      <c r="I177" s="13">
        <v>1500000</v>
      </c>
      <c r="J177" s="4">
        <v>60</v>
      </c>
      <c r="K177" s="4">
        <v>0</v>
      </c>
      <c r="L177" s="4" t="s">
        <v>14</v>
      </c>
      <c r="M177" s="4" t="s">
        <v>19</v>
      </c>
      <c r="N177" s="4" t="s">
        <v>623</v>
      </c>
      <c r="O177" s="4" t="s">
        <v>625</v>
      </c>
      <c r="P177" s="5">
        <v>0.18</v>
      </c>
      <c r="Q177" s="14">
        <f t="shared" ref="Q177:Q178" si="15">PMT($V$9/12,$V$12,-$V$8)</f>
        <v>38090.141140663625</v>
      </c>
      <c r="R177" s="4">
        <v>930000</v>
      </c>
      <c r="S177" s="2" t="s">
        <v>12</v>
      </c>
    </row>
    <row r="178" spans="1:19" x14ac:dyDescent="0.3">
      <c r="A178" s="4">
        <v>177</v>
      </c>
      <c r="B178" s="4" t="s">
        <v>197</v>
      </c>
      <c r="C178" s="4" t="s">
        <v>11</v>
      </c>
      <c r="D178" s="4" t="s">
        <v>17</v>
      </c>
      <c r="E178" s="4" t="s">
        <v>13</v>
      </c>
      <c r="F178" s="4" t="s">
        <v>12</v>
      </c>
      <c r="G178" s="4">
        <v>80000</v>
      </c>
      <c r="H178" s="4">
        <v>0</v>
      </c>
      <c r="I178" s="13">
        <v>1500000</v>
      </c>
      <c r="J178" s="4">
        <v>60</v>
      </c>
      <c r="K178" s="4">
        <v>0</v>
      </c>
      <c r="L178" s="4" t="s">
        <v>14</v>
      </c>
      <c r="M178" s="4" t="s">
        <v>19</v>
      </c>
      <c r="N178" s="4" t="s">
        <v>623</v>
      </c>
      <c r="O178" s="4" t="s">
        <v>625</v>
      </c>
      <c r="P178" s="5">
        <v>0.18</v>
      </c>
      <c r="Q178" s="14">
        <f t="shared" si="15"/>
        <v>38090.141140663625</v>
      </c>
      <c r="R178" s="4">
        <v>800000</v>
      </c>
      <c r="S178" s="2" t="s">
        <v>17</v>
      </c>
    </row>
    <row r="179" spans="1:19" x14ac:dyDescent="0.3">
      <c r="A179" s="4">
        <v>178</v>
      </c>
      <c r="B179" s="4" t="s">
        <v>198</v>
      </c>
      <c r="C179" s="4" t="s">
        <v>11</v>
      </c>
      <c r="D179" s="4" t="s">
        <v>12</v>
      </c>
      <c r="E179" s="4" t="s">
        <v>13</v>
      </c>
      <c r="F179" s="4" t="s">
        <v>12</v>
      </c>
      <c r="G179" s="4">
        <v>25000</v>
      </c>
      <c r="H179" s="4">
        <v>10000</v>
      </c>
      <c r="I179" s="13">
        <v>500000</v>
      </c>
      <c r="J179" s="4">
        <v>60</v>
      </c>
      <c r="K179" s="4">
        <v>0</v>
      </c>
      <c r="L179" s="4" t="s">
        <v>18</v>
      </c>
      <c r="M179" s="4" t="s">
        <v>19</v>
      </c>
      <c r="N179" s="4" t="s">
        <v>623</v>
      </c>
      <c r="O179" s="4" t="s">
        <v>625</v>
      </c>
      <c r="P179" s="5">
        <v>0.18</v>
      </c>
      <c r="Q179" s="14">
        <f t="shared" ref="Q179:Q180" si="16">PMT($V$15/12,$V$18,-$V$14)</f>
        <v>12696.713713554542</v>
      </c>
      <c r="R179" s="4" t="s">
        <v>635</v>
      </c>
      <c r="S179" s="2" t="s">
        <v>17</v>
      </c>
    </row>
    <row r="180" spans="1:19" x14ac:dyDescent="0.3">
      <c r="A180" s="4">
        <v>179</v>
      </c>
      <c r="B180" s="4" t="s">
        <v>199</v>
      </c>
      <c r="C180" s="4" t="s">
        <v>11</v>
      </c>
      <c r="D180" s="4" t="s">
        <v>17</v>
      </c>
      <c r="E180" s="4" t="s">
        <v>13</v>
      </c>
      <c r="F180" s="4" t="s">
        <v>12</v>
      </c>
      <c r="G180" s="4">
        <v>50000</v>
      </c>
      <c r="H180" s="4">
        <v>0</v>
      </c>
      <c r="I180" s="13">
        <v>500000</v>
      </c>
      <c r="J180" s="4">
        <v>60</v>
      </c>
      <c r="K180" s="4">
        <v>1</v>
      </c>
      <c r="L180" s="4" t="s">
        <v>27</v>
      </c>
      <c r="M180" s="4" t="s">
        <v>15</v>
      </c>
      <c r="N180" s="4" t="s">
        <v>623</v>
      </c>
      <c r="O180" s="4" t="s">
        <v>625</v>
      </c>
      <c r="P180" s="5">
        <v>0.18</v>
      </c>
      <c r="Q180" s="14">
        <f t="shared" si="16"/>
        <v>12696.713713554542</v>
      </c>
      <c r="R180" s="4">
        <v>500000</v>
      </c>
      <c r="S180" s="2" t="s">
        <v>12</v>
      </c>
    </row>
    <row r="181" spans="1:19" x14ac:dyDescent="0.3">
      <c r="A181" s="4">
        <v>180</v>
      </c>
      <c r="B181" s="4" t="s">
        <v>200</v>
      </c>
      <c r="C181" s="4" t="s">
        <v>11</v>
      </c>
      <c r="D181" s="4" t="s">
        <v>17</v>
      </c>
      <c r="E181" s="4" t="s">
        <v>13</v>
      </c>
      <c r="F181" s="4" t="s">
        <v>12</v>
      </c>
      <c r="G181" s="4">
        <v>200000</v>
      </c>
      <c r="H181" s="4">
        <v>50000</v>
      </c>
      <c r="I181" s="13">
        <v>3000000</v>
      </c>
      <c r="J181" s="4">
        <v>60</v>
      </c>
      <c r="K181" s="4">
        <v>1</v>
      </c>
      <c r="L181" s="4" t="s">
        <v>27</v>
      </c>
      <c r="M181" s="4" t="s">
        <v>19</v>
      </c>
      <c r="N181" s="4" t="s">
        <v>623</v>
      </c>
      <c r="O181" s="4" t="s">
        <v>625</v>
      </c>
      <c r="P181" s="5">
        <v>0.18</v>
      </c>
      <c r="Q181" s="14">
        <f>PMT($Y$81/12,$Y$84,-$Y$80)</f>
        <v>76180.282281327251</v>
      </c>
      <c r="R181" s="4">
        <v>1550000</v>
      </c>
      <c r="S181" s="2" t="s">
        <v>12</v>
      </c>
    </row>
    <row r="182" spans="1:19" x14ac:dyDescent="0.3">
      <c r="A182" s="4">
        <v>181</v>
      </c>
      <c r="B182" s="4" t="s">
        <v>201</v>
      </c>
      <c r="C182" s="4" t="s">
        <v>38</v>
      </c>
      <c r="D182" s="4" t="s">
        <v>17</v>
      </c>
      <c r="E182" s="4" t="s">
        <v>13</v>
      </c>
      <c r="F182" s="4" t="s">
        <v>12</v>
      </c>
      <c r="G182" s="4">
        <v>30000</v>
      </c>
      <c r="H182" s="4">
        <v>10000</v>
      </c>
      <c r="I182" s="13">
        <v>1000000</v>
      </c>
      <c r="J182" s="4">
        <v>60</v>
      </c>
      <c r="K182" s="4">
        <v>1</v>
      </c>
      <c r="L182" s="4" t="s">
        <v>27</v>
      </c>
      <c r="M182" s="4" t="s">
        <v>15</v>
      </c>
      <c r="N182" s="4" t="s">
        <v>623</v>
      </c>
      <c r="O182" s="4" t="s">
        <v>625</v>
      </c>
      <c r="P182" s="5">
        <v>0.18</v>
      </c>
      <c r="Q182" s="14">
        <f t="shared" ref="Q182:Q183" si="17">PMT($V$3/12,$V$6,-$V$2)</f>
        <v>25393.427427109084</v>
      </c>
      <c r="R182" s="4">
        <v>430000</v>
      </c>
      <c r="S182" s="2" t="s">
        <v>17</v>
      </c>
    </row>
    <row r="183" spans="1:19" x14ac:dyDescent="0.3">
      <c r="A183" s="4">
        <v>182</v>
      </c>
      <c r="B183" s="4" t="s">
        <v>202</v>
      </c>
      <c r="C183" s="4" t="s">
        <v>11</v>
      </c>
      <c r="D183" s="4" t="s">
        <v>17</v>
      </c>
      <c r="E183" s="4" t="s">
        <v>13</v>
      </c>
      <c r="F183" s="4" t="s">
        <v>17</v>
      </c>
      <c r="G183" s="4">
        <v>75000</v>
      </c>
      <c r="H183" s="4">
        <v>25000</v>
      </c>
      <c r="I183" s="13">
        <v>1000000</v>
      </c>
      <c r="J183" s="4">
        <v>60</v>
      </c>
      <c r="K183" s="4">
        <v>1</v>
      </c>
      <c r="L183" s="4" t="s">
        <v>27</v>
      </c>
      <c r="M183" s="4" t="s">
        <v>15</v>
      </c>
      <c r="N183" s="4" t="s">
        <v>623</v>
      </c>
      <c r="O183" s="4" t="s">
        <v>625</v>
      </c>
      <c r="P183" s="5">
        <v>0.18</v>
      </c>
      <c r="Q183" s="14">
        <f t="shared" si="17"/>
        <v>25393.427427109084</v>
      </c>
      <c r="R183" s="4">
        <v>860000</v>
      </c>
      <c r="S183" s="2" t="s">
        <v>12</v>
      </c>
    </row>
    <row r="184" spans="1:19" x14ac:dyDescent="0.3">
      <c r="A184" s="4">
        <v>183</v>
      </c>
      <c r="B184" s="4" t="s">
        <v>203</v>
      </c>
      <c r="C184" s="4" t="s">
        <v>11</v>
      </c>
      <c r="D184" s="4" t="s">
        <v>17</v>
      </c>
      <c r="E184" s="4" t="s">
        <v>13</v>
      </c>
      <c r="F184" s="4" t="s">
        <v>17</v>
      </c>
      <c r="G184" s="4">
        <v>50000</v>
      </c>
      <c r="H184" s="4">
        <v>35000</v>
      </c>
      <c r="I184" s="13">
        <v>1500000</v>
      </c>
      <c r="J184" s="4">
        <v>60</v>
      </c>
      <c r="K184" s="4">
        <v>0</v>
      </c>
      <c r="L184" s="4" t="s">
        <v>18</v>
      </c>
      <c r="M184" s="4" t="s">
        <v>19</v>
      </c>
      <c r="N184" s="4" t="s">
        <v>623</v>
      </c>
      <c r="O184" s="4" t="s">
        <v>625</v>
      </c>
      <c r="P184" s="5">
        <v>0.18</v>
      </c>
      <c r="Q184" s="14">
        <f>PMT($V$9/12,$V$12,-$V$8)</f>
        <v>38090.141140663625</v>
      </c>
      <c r="R184" s="4">
        <v>660000</v>
      </c>
      <c r="S184" s="2" t="s">
        <v>17</v>
      </c>
    </row>
    <row r="185" spans="1:19" x14ac:dyDescent="0.3">
      <c r="A185" s="4">
        <v>184</v>
      </c>
      <c r="B185" s="4" t="s">
        <v>204</v>
      </c>
      <c r="C185" s="4" t="s">
        <v>11</v>
      </c>
      <c r="D185" s="4" t="s">
        <v>17</v>
      </c>
      <c r="E185" s="4" t="s">
        <v>13</v>
      </c>
      <c r="F185" s="4" t="s">
        <v>12</v>
      </c>
      <c r="G185" s="4">
        <v>85000</v>
      </c>
      <c r="H185" s="4">
        <v>0</v>
      </c>
      <c r="I185" s="13">
        <v>1000000</v>
      </c>
      <c r="J185" s="4">
        <v>60</v>
      </c>
      <c r="K185" s="4">
        <v>0</v>
      </c>
      <c r="L185" s="4" t="s">
        <v>18</v>
      </c>
      <c r="M185" s="4" t="s">
        <v>15</v>
      </c>
      <c r="N185" s="4" t="s">
        <v>623</v>
      </c>
      <c r="O185" s="4" t="s">
        <v>625</v>
      </c>
      <c r="P185" s="5">
        <v>0.18</v>
      </c>
      <c r="Q185" s="14">
        <f>PMT($V$3/12,$V$6,-$V$2)</f>
        <v>25393.427427109084</v>
      </c>
      <c r="R185" s="4">
        <v>740000</v>
      </c>
      <c r="S185" s="2" t="s">
        <v>12</v>
      </c>
    </row>
    <row r="186" spans="1:19" x14ac:dyDescent="0.3">
      <c r="A186" s="4">
        <v>185</v>
      </c>
      <c r="B186" s="4" t="s">
        <v>205</v>
      </c>
      <c r="C186" s="4" t="s">
        <v>11</v>
      </c>
      <c r="D186" s="4" t="s">
        <v>17</v>
      </c>
      <c r="E186" s="4" t="s">
        <v>13</v>
      </c>
      <c r="F186" s="4" t="s">
        <v>12</v>
      </c>
      <c r="G186" s="4">
        <v>50000</v>
      </c>
      <c r="H186" s="4">
        <v>30000</v>
      </c>
      <c r="I186" s="13">
        <v>2000000</v>
      </c>
      <c r="J186" s="4">
        <v>60</v>
      </c>
      <c r="K186" s="4">
        <v>1</v>
      </c>
      <c r="L186" s="4" t="s">
        <v>18</v>
      </c>
      <c r="M186" s="4" t="s">
        <v>15</v>
      </c>
      <c r="N186" s="4" t="s">
        <v>623</v>
      </c>
      <c r="O186" s="4" t="s">
        <v>625</v>
      </c>
      <c r="P186" s="5">
        <v>0.18</v>
      </c>
      <c r="Q186" s="14">
        <f>PMT($V$27/12,$V$30,-$V$26)</f>
        <v>50786.854854218167</v>
      </c>
      <c r="R186" s="4">
        <v>630000</v>
      </c>
      <c r="S186" s="2" t="s">
        <v>17</v>
      </c>
    </row>
    <row r="187" spans="1:19" x14ac:dyDescent="0.3">
      <c r="A187" s="4">
        <v>186</v>
      </c>
      <c r="B187" s="4" t="s">
        <v>206</v>
      </c>
      <c r="C187" s="4" t="s">
        <v>11</v>
      </c>
      <c r="D187" s="4" t="s">
        <v>12</v>
      </c>
      <c r="E187" s="4" t="s">
        <v>22</v>
      </c>
      <c r="F187" s="4" t="s">
        <v>12</v>
      </c>
      <c r="G187" s="4">
        <v>65000</v>
      </c>
      <c r="H187" s="4">
        <v>20000</v>
      </c>
      <c r="I187" s="13">
        <v>800000</v>
      </c>
      <c r="J187" s="4">
        <v>60</v>
      </c>
      <c r="K187" s="4">
        <v>1</v>
      </c>
      <c r="L187" s="4" t="s">
        <v>18</v>
      </c>
      <c r="M187" s="4" t="s">
        <v>15</v>
      </c>
      <c r="N187" s="4" t="s">
        <v>623</v>
      </c>
      <c r="O187" s="4" t="s">
        <v>625</v>
      </c>
      <c r="P187" s="5">
        <v>0.18</v>
      </c>
      <c r="Q187" s="14">
        <f>PMT($V$33/12,$V$36,-$V$32)</f>
        <v>20314.741941687265</v>
      </c>
      <c r="R187" s="4">
        <v>531000</v>
      </c>
      <c r="S187" s="2" t="s">
        <v>17</v>
      </c>
    </row>
    <row r="188" spans="1:19" x14ac:dyDescent="0.3">
      <c r="A188" s="4">
        <v>187</v>
      </c>
      <c r="B188" s="4" t="s">
        <v>207</v>
      </c>
      <c r="C188" s="4" t="s">
        <v>11</v>
      </c>
      <c r="D188" s="4" t="s">
        <v>12</v>
      </c>
      <c r="E188" s="4" t="s">
        <v>13</v>
      </c>
      <c r="F188" s="4" t="s">
        <v>12</v>
      </c>
      <c r="G188" s="4">
        <v>55000</v>
      </c>
      <c r="H188" s="4">
        <v>25000</v>
      </c>
      <c r="I188" s="13">
        <v>1000000</v>
      </c>
      <c r="J188" s="4">
        <v>60</v>
      </c>
      <c r="K188" s="4">
        <v>1</v>
      </c>
      <c r="L188" s="4" t="s">
        <v>27</v>
      </c>
      <c r="M188" s="4" t="s">
        <v>19</v>
      </c>
      <c r="N188" s="4" t="s">
        <v>623</v>
      </c>
      <c r="O188" s="4" t="s">
        <v>625</v>
      </c>
      <c r="P188" s="5">
        <v>0.18</v>
      </c>
      <c r="Q188" s="14">
        <f>PMT($V$3/12,$V$6,-$V$2)</f>
        <v>25393.427427109084</v>
      </c>
      <c r="R188" s="4">
        <v>550000</v>
      </c>
      <c r="S188" s="2" t="s">
        <v>12</v>
      </c>
    </row>
    <row r="189" spans="1:19" x14ac:dyDescent="0.3">
      <c r="A189" s="4">
        <v>188</v>
      </c>
      <c r="B189" s="4" t="s">
        <v>208</v>
      </c>
      <c r="C189" s="4" t="s">
        <v>11</v>
      </c>
      <c r="D189" s="4" t="s">
        <v>17</v>
      </c>
      <c r="E189" s="4" t="s">
        <v>22</v>
      </c>
      <c r="F189" s="4" t="s">
        <v>12</v>
      </c>
      <c r="G189" s="4">
        <v>85000</v>
      </c>
      <c r="H189" s="4">
        <v>0</v>
      </c>
      <c r="I189" s="13">
        <v>2000000</v>
      </c>
      <c r="J189" s="4">
        <v>60</v>
      </c>
      <c r="K189" s="4">
        <v>1</v>
      </c>
      <c r="L189" s="4" t="s">
        <v>14</v>
      </c>
      <c r="M189" s="4" t="s">
        <v>19</v>
      </c>
      <c r="N189" s="4" t="s">
        <v>623</v>
      </c>
      <c r="O189" s="4" t="s">
        <v>625</v>
      </c>
      <c r="P189" s="5">
        <v>0.18</v>
      </c>
      <c r="Q189" s="14">
        <f>PMT($V$27/12,$V$30,-$V$26)</f>
        <v>50786.854854218167</v>
      </c>
      <c r="R189" s="4">
        <v>621000</v>
      </c>
      <c r="S189" s="2" t="s">
        <v>12</v>
      </c>
    </row>
    <row r="190" spans="1:19" x14ac:dyDescent="0.3">
      <c r="A190" s="4">
        <v>189</v>
      </c>
      <c r="B190" s="4" t="s">
        <v>209</v>
      </c>
      <c r="C190" s="4" t="s">
        <v>11</v>
      </c>
      <c r="D190" s="4" t="s">
        <v>12</v>
      </c>
      <c r="E190" s="4" t="s">
        <v>13</v>
      </c>
      <c r="F190" s="4" t="s">
        <v>12</v>
      </c>
      <c r="G190" s="4">
        <v>85000</v>
      </c>
      <c r="H190" s="4">
        <v>30000</v>
      </c>
      <c r="I190" s="13">
        <v>1500000</v>
      </c>
      <c r="J190" s="4">
        <v>60</v>
      </c>
      <c r="K190" s="4">
        <v>1</v>
      </c>
      <c r="L190" s="4" t="s">
        <v>27</v>
      </c>
      <c r="M190" s="4" t="s">
        <v>15</v>
      </c>
      <c r="N190" s="4" t="s">
        <v>623</v>
      </c>
      <c r="O190" s="4" t="s">
        <v>625</v>
      </c>
      <c r="P190" s="5">
        <v>0.18</v>
      </c>
      <c r="Q190" s="14">
        <f>PMT($V$9/12,$V$12,-$V$8)</f>
        <v>38090.141140663625</v>
      </c>
      <c r="R190" s="4">
        <v>940000</v>
      </c>
      <c r="S190" s="2" t="s">
        <v>12</v>
      </c>
    </row>
    <row r="191" spans="1:19" x14ac:dyDescent="0.3">
      <c r="A191" s="4">
        <v>190</v>
      </c>
      <c r="B191" s="4" t="s">
        <v>210</v>
      </c>
      <c r="C191" s="4" t="s">
        <v>11</v>
      </c>
      <c r="D191" s="4" t="s">
        <v>12</v>
      </c>
      <c r="E191" s="4" t="s">
        <v>13</v>
      </c>
      <c r="F191" s="4" t="s">
        <v>12</v>
      </c>
      <c r="G191" s="4">
        <v>45000</v>
      </c>
      <c r="H191" s="4">
        <v>40000</v>
      </c>
      <c r="I191" s="13">
        <v>1000000</v>
      </c>
      <c r="J191" s="4">
        <v>60</v>
      </c>
      <c r="K191" s="4">
        <v>1</v>
      </c>
      <c r="L191" s="4" t="s">
        <v>18</v>
      </c>
      <c r="M191" s="4" t="s">
        <v>15</v>
      </c>
      <c r="N191" s="4" t="s">
        <v>623</v>
      </c>
      <c r="O191" s="4" t="s">
        <v>625</v>
      </c>
      <c r="P191" s="5">
        <v>0.18</v>
      </c>
      <c r="Q191" s="14">
        <f>PMT($V$3/12,$V$6,-$V$2)</f>
        <v>25393.427427109084</v>
      </c>
      <c r="R191" s="4">
        <v>621000</v>
      </c>
      <c r="S191" s="2" t="s">
        <v>12</v>
      </c>
    </row>
    <row r="192" spans="1:19" x14ac:dyDescent="0.3">
      <c r="A192" s="4">
        <v>191</v>
      </c>
      <c r="B192" s="4" t="s">
        <v>211</v>
      </c>
      <c r="C192" s="4" t="s">
        <v>11</v>
      </c>
      <c r="D192" s="4" t="s">
        <v>17</v>
      </c>
      <c r="E192" s="4" t="s">
        <v>13</v>
      </c>
      <c r="F192" s="4" t="s">
        <v>12</v>
      </c>
      <c r="G192" s="4">
        <v>25000</v>
      </c>
      <c r="H192" s="4">
        <v>0</v>
      </c>
      <c r="I192" s="13">
        <v>500000</v>
      </c>
      <c r="J192" s="4">
        <v>60</v>
      </c>
      <c r="K192" s="4">
        <v>1</v>
      </c>
      <c r="L192" s="4" t="s">
        <v>27</v>
      </c>
      <c r="M192" s="4" t="s">
        <v>19</v>
      </c>
      <c r="N192" s="4" t="s">
        <v>623</v>
      </c>
      <c r="O192" s="4" t="s">
        <v>625</v>
      </c>
      <c r="P192" s="5">
        <v>0.18</v>
      </c>
      <c r="Q192" s="14">
        <f t="shared" ref="Q192:Q193" si="18">PMT($V$15/12,$V$18,-$V$14)</f>
        <v>12696.713713554542</v>
      </c>
      <c r="R192" s="4" t="s">
        <v>635</v>
      </c>
      <c r="S192" s="2" t="s">
        <v>12</v>
      </c>
    </row>
    <row r="193" spans="1:19" x14ac:dyDescent="0.3">
      <c r="A193" s="4">
        <v>192</v>
      </c>
      <c r="B193" s="4" t="s">
        <v>212</v>
      </c>
      <c r="C193" s="4" t="s">
        <v>11</v>
      </c>
      <c r="D193" s="4" t="s">
        <v>12</v>
      </c>
      <c r="E193" s="4" t="s">
        <v>13</v>
      </c>
      <c r="F193" s="4" t="s">
        <v>12</v>
      </c>
      <c r="G193" s="4">
        <v>50000</v>
      </c>
      <c r="H193" s="4">
        <v>0</v>
      </c>
      <c r="I193" s="13">
        <v>500000</v>
      </c>
      <c r="J193" s="4">
        <v>60</v>
      </c>
      <c r="K193" s="4">
        <v>1</v>
      </c>
      <c r="L193" s="4" t="s">
        <v>18</v>
      </c>
      <c r="M193" s="4" t="s">
        <v>15</v>
      </c>
      <c r="N193" s="4" t="s">
        <v>623</v>
      </c>
      <c r="O193" s="4" t="s">
        <v>625</v>
      </c>
      <c r="P193" s="5">
        <v>0.18</v>
      </c>
      <c r="Q193" s="14">
        <f t="shared" si="18"/>
        <v>12696.713713554542</v>
      </c>
      <c r="R193" s="4">
        <v>420000</v>
      </c>
      <c r="S193" s="2" t="s">
        <v>17</v>
      </c>
    </row>
    <row r="194" spans="1:19" x14ac:dyDescent="0.3">
      <c r="A194" s="4">
        <v>193</v>
      </c>
      <c r="B194" s="4" t="s">
        <v>213</v>
      </c>
      <c r="C194" s="4" t="s">
        <v>38</v>
      </c>
      <c r="D194" s="4" t="s">
        <v>12</v>
      </c>
      <c r="E194" s="4" t="s">
        <v>22</v>
      </c>
      <c r="F194" s="4" t="s">
        <v>12</v>
      </c>
      <c r="G194" s="4">
        <v>15000</v>
      </c>
      <c r="H194" s="4">
        <v>10000</v>
      </c>
      <c r="I194" s="13">
        <v>600000</v>
      </c>
      <c r="J194" s="4">
        <v>60</v>
      </c>
      <c r="K194" s="4">
        <v>1</v>
      </c>
      <c r="L194" s="4" t="s">
        <v>14</v>
      </c>
      <c r="M194" s="4" t="s">
        <v>15</v>
      </c>
      <c r="N194" s="4" t="s">
        <v>623</v>
      </c>
      <c r="O194" s="4" t="s">
        <v>625</v>
      </c>
      <c r="P194" s="5">
        <v>0.18</v>
      </c>
      <c r="Q194" s="14">
        <f>PMT($V$39/12,$V$42,-$V$38)</f>
        <v>15236.056456265451</v>
      </c>
      <c r="R194" s="4" t="s">
        <v>635</v>
      </c>
      <c r="S194" s="2" t="s">
        <v>12</v>
      </c>
    </row>
    <row r="195" spans="1:19" x14ac:dyDescent="0.3">
      <c r="A195" s="4">
        <v>194</v>
      </c>
      <c r="B195" s="4" t="s">
        <v>214</v>
      </c>
      <c r="C195" s="4" t="s">
        <v>38</v>
      </c>
      <c r="D195" s="4" t="s">
        <v>17</v>
      </c>
      <c r="E195" s="4" t="s">
        <v>13</v>
      </c>
      <c r="F195" s="4" t="s">
        <v>12</v>
      </c>
      <c r="G195" s="4">
        <v>150000</v>
      </c>
      <c r="H195" s="4">
        <v>0</v>
      </c>
      <c r="I195" s="13">
        <v>2000000</v>
      </c>
      <c r="J195" s="4">
        <v>60</v>
      </c>
      <c r="K195" s="4">
        <v>0</v>
      </c>
      <c r="L195" s="4" t="s">
        <v>27</v>
      </c>
      <c r="M195" s="4" t="s">
        <v>15</v>
      </c>
      <c r="N195" s="4" t="s">
        <v>623</v>
      </c>
      <c r="O195" s="4" t="s">
        <v>625</v>
      </c>
      <c r="P195" s="5">
        <v>0.18</v>
      </c>
      <c r="Q195" s="14">
        <f>PMT($V$27/12,$V$30,-$V$26)</f>
        <v>50786.854854218167</v>
      </c>
      <c r="R195" s="4">
        <v>970000</v>
      </c>
      <c r="S195" s="2" t="s">
        <v>12</v>
      </c>
    </row>
    <row r="196" spans="1:19" x14ac:dyDescent="0.3">
      <c r="A196" s="4">
        <v>195</v>
      </c>
      <c r="B196" s="4" t="s">
        <v>215</v>
      </c>
      <c r="C196" s="4" t="s">
        <v>11</v>
      </c>
      <c r="D196" s="4" t="s">
        <v>12</v>
      </c>
      <c r="E196" s="4" t="s">
        <v>13</v>
      </c>
      <c r="F196" s="4" t="s">
        <v>17</v>
      </c>
      <c r="G196" s="4">
        <v>20000</v>
      </c>
      <c r="H196" s="4">
        <v>10000</v>
      </c>
      <c r="I196" s="13">
        <v>756201</v>
      </c>
      <c r="J196" s="4">
        <v>60</v>
      </c>
      <c r="K196" s="4">
        <v>1</v>
      </c>
      <c r="L196" s="4" t="s">
        <v>14</v>
      </c>
      <c r="M196" s="4" t="s">
        <v>19</v>
      </c>
      <c r="N196" s="4" t="s">
        <v>623</v>
      </c>
      <c r="O196" s="4" t="s">
        <v>625</v>
      </c>
      <c r="P196" s="5">
        <v>0.18</v>
      </c>
      <c r="Q196" s="14">
        <f>PMT($Y$3/12,$Y$6,-$Y$2)</f>
        <v>19202.535213807318</v>
      </c>
      <c r="R196" s="4">
        <v>150000</v>
      </c>
      <c r="S196" s="2" t="s">
        <v>12</v>
      </c>
    </row>
    <row r="197" spans="1:19" x14ac:dyDescent="0.3">
      <c r="A197" s="4">
        <v>196</v>
      </c>
      <c r="B197" s="4" t="s">
        <v>216</v>
      </c>
      <c r="C197" s="4" t="s">
        <v>11</v>
      </c>
      <c r="D197" s="4" t="s">
        <v>17</v>
      </c>
      <c r="E197" s="4" t="s">
        <v>22</v>
      </c>
      <c r="F197" s="4" t="s">
        <v>12</v>
      </c>
      <c r="G197" s="4">
        <v>50000</v>
      </c>
      <c r="H197" s="4">
        <v>25000</v>
      </c>
      <c r="I197" s="13">
        <v>200000</v>
      </c>
      <c r="J197" s="4">
        <v>60</v>
      </c>
      <c r="K197" s="4">
        <v>1</v>
      </c>
      <c r="L197" s="4" t="s">
        <v>27</v>
      </c>
      <c r="M197" s="4" t="s">
        <v>15</v>
      </c>
      <c r="N197" s="4" t="s">
        <v>623</v>
      </c>
      <c r="O197" s="4" t="s">
        <v>625</v>
      </c>
      <c r="P197" s="5">
        <v>0.18</v>
      </c>
      <c r="Q197" s="14">
        <f>PMT($Y$9/12,$Y$12,-$Y$8)</f>
        <v>5078.6854854218163</v>
      </c>
      <c r="R197" s="4">
        <v>400000</v>
      </c>
      <c r="S197" s="2" t="s">
        <v>12</v>
      </c>
    </row>
    <row r="198" spans="1:19" x14ac:dyDescent="0.3">
      <c r="A198" s="4">
        <v>197</v>
      </c>
      <c r="B198" s="4" t="s">
        <v>217</v>
      </c>
      <c r="C198" s="4" t="s">
        <v>11</v>
      </c>
      <c r="D198" s="4" t="s">
        <v>12</v>
      </c>
      <c r="E198" s="4" t="s">
        <v>13</v>
      </c>
      <c r="F198" s="4" t="s">
        <v>12</v>
      </c>
      <c r="G198" s="4">
        <v>50000</v>
      </c>
      <c r="H198" s="4">
        <v>30000</v>
      </c>
      <c r="I198" s="13">
        <v>2000000</v>
      </c>
      <c r="J198" s="4">
        <v>60</v>
      </c>
      <c r="K198" s="4">
        <v>0</v>
      </c>
      <c r="L198" s="4" t="s">
        <v>27</v>
      </c>
      <c r="M198" s="4" t="s">
        <v>15</v>
      </c>
      <c r="N198" s="4" t="s">
        <v>623</v>
      </c>
      <c r="O198" s="4" t="s">
        <v>625</v>
      </c>
      <c r="P198" s="5">
        <v>0.18</v>
      </c>
      <c r="Q198" s="14">
        <f>PMT($V$27/12,$V$30,-$V$26)</f>
        <v>50786.854854218167</v>
      </c>
      <c r="R198" s="4">
        <v>531000</v>
      </c>
      <c r="S198" s="2" t="s">
        <v>12</v>
      </c>
    </row>
    <row r="199" spans="1:19" x14ac:dyDescent="0.3">
      <c r="A199" s="4">
        <v>198</v>
      </c>
      <c r="B199" s="4" t="s">
        <v>218</v>
      </c>
      <c r="C199" s="4" t="s">
        <v>11</v>
      </c>
      <c r="D199" s="4" t="s">
        <v>17</v>
      </c>
      <c r="E199" s="4" t="s">
        <v>22</v>
      </c>
      <c r="F199" s="4" t="s">
        <v>12</v>
      </c>
      <c r="G199" s="4">
        <v>65000</v>
      </c>
      <c r="H199" s="4">
        <v>20000</v>
      </c>
      <c r="I199" s="13">
        <v>800000</v>
      </c>
      <c r="J199" s="4">
        <v>60</v>
      </c>
      <c r="K199" s="4">
        <v>1</v>
      </c>
      <c r="L199" s="4" t="s">
        <v>14</v>
      </c>
      <c r="M199" s="4" t="s">
        <v>19</v>
      </c>
      <c r="N199" s="4" t="s">
        <v>623</v>
      </c>
      <c r="O199" s="4" t="s">
        <v>625</v>
      </c>
      <c r="P199" s="5">
        <v>0.18</v>
      </c>
      <c r="Q199" s="14">
        <f>PMT($V$33/12,$V$36,-$V$32)</f>
        <v>20314.741941687265</v>
      </c>
      <c r="R199" s="4">
        <v>690000</v>
      </c>
      <c r="S199" s="2" t="s">
        <v>12</v>
      </c>
    </row>
    <row r="200" spans="1:19" x14ac:dyDescent="0.3">
      <c r="A200" s="4">
        <v>199</v>
      </c>
      <c r="B200" s="4" t="s">
        <v>219</v>
      </c>
      <c r="C200" s="4" t="s">
        <v>11</v>
      </c>
      <c r="D200" s="4" t="s">
        <v>17</v>
      </c>
      <c r="E200" s="4" t="s">
        <v>22</v>
      </c>
      <c r="F200" s="4" t="s">
        <v>12</v>
      </c>
      <c r="G200" s="4">
        <v>55000</v>
      </c>
      <c r="H200" s="4">
        <v>25000</v>
      </c>
      <c r="I200" s="13">
        <v>1000000</v>
      </c>
      <c r="J200" s="4">
        <v>60</v>
      </c>
      <c r="K200" s="4">
        <v>1</v>
      </c>
      <c r="L200" s="4" t="s">
        <v>14</v>
      </c>
      <c r="M200" s="4" t="s">
        <v>15</v>
      </c>
      <c r="N200" s="4" t="s">
        <v>623</v>
      </c>
      <c r="O200" s="4" t="s">
        <v>625</v>
      </c>
      <c r="P200" s="5">
        <v>0.18</v>
      </c>
      <c r="Q200" s="14">
        <f>PMT($V$3/12,$V$6,-$V$2)</f>
        <v>25393.427427109084</v>
      </c>
      <c r="R200" s="4">
        <v>620000</v>
      </c>
      <c r="S200" s="2" t="s">
        <v>12</v>
      </c>
    </row>
    <row r="201" spans="1:19" x14ac:dyDescent="0.3">
      <c r="A201" s="4">
        <v>200</v>
      </c>
      <c r="B201" s="4" t="s">
        <v>220</v>
      </c>
      <c r="C201" s="4" t="s">
        <v>11</v>
      </c>
      <c r="D201" s="4" t="s">
        <v>17</v>
      </c>
      <c r="E201" s="4" t="s">
        <v>22</v>
      </c>
      <c r="F201" s="4" t="s">
        <v>12</v>
      </c>
      <c r="G201" s="4">
        <v>53000</v>
      </c>
      <c r="H201" s="4">
        <v>0</v>
      </c>
      <c r="I201" s="13">
        <v>620000</v>
      </c>
      <c r="J201" s="4">
        <v>60</v>
      </c>
      <c r="K201" s="4">
        <v>1</v>
      </c>
      <c r="L201" s="4" t="s">
        <v>27</v>
      </c>
      <c r="M201" s="4" t="s">
        <v>15</v>
      </c>
      <c r="N201" s="4" t="s">
        <v>623</v>
      </c>
      <c r="O201" s="4" t="s">
        <v>625</v>
      </c>
      <c r="P201" s="5">
        <v>0.18</v>
      </c>
      <c r="Q201" s="14">
        <f>PMT($AB$15/12,$AB$18,-$AB$14)</f>
        <v>15743.925004807632</v>
      </c>
      <c r="R201" s="4">
        <v>510000</v>
      </c>
      <c r="S201" s="2" t="s">
        <v>12</v>
      </c>
    </row>
    <row r="202" spans="1:19" x14ac:dyDescent="0.3">
      <c r="A202" s="4">
        <v>201</v>
      </c>
      <c r="B202" s="4" t="s">
        <v>221</v>
      </c>
      <c r="C202" s="4" t="s">
        <v>38</v>
      </c>
      <c r="D202" s="4" t="s">
        <v>12</v>
      </c>
      <c r="E202" s="4" t="s">
        <v>22</v>
      </c>
      <c r="F202" s="4" t="s">
        <v>12</v>
      </c>
      <c r="G202" s="4">
        <v>84200</v>
      </c>
      <c r="H202" s="4">
        <v>77000</v>
      </c>
      <c r="I202" s="13">
        <v>952000</v>
      </c>
      <c r="J202" s="4">
        <v>60</v>
      </c>
      <c r="K202" s="4">
        <v>1</v>
      </c>
      <c r="L202" s="4" t="s">
        <v>27</v>
      </c>
      <c r="M202" s="4" t="s">
        <v>15</v>
      </c>
      <c r="N202" s="4" t="s">
        <v>623</v>
      </c>
      <c r="O202" s="4" t="s">
        <v>625</v>
      </c>
      <c r="P202" s="5">
        <v>0.18</v>
      </c>
      <c r="Q202" s="14">
        <f>PMT($AB$21/12,$AB$24,-$AB$20)</f>
        <v>24174.542910607848</v>
      </c>
      <c r="R202" s="4">
        <v>1000000</v>
      </c>
      <c r="S202" s="2" t="s">
        <v>12</v>
      </c>
    </row>
    <row r="203" spans="1:19" x14ac:dyDescent="0.3">
      <c r="A203" s="4">
        <v>202</v>
      </c>
      <c r="B203" s="4" t="s">
        <v>222</v>
      </c>
      <c r="C203" s="4" t="s">
        <v>38</v>
      </c>
      <c r="D203" s="4" t="s">
        <v>12</v>
      </c>
      <c r="E203" s="4" t="s">
        <v>13</v>
      </c>
      <c r="F203" s="4" t="s">
        <v>12</v>
      </c>
      <c r="G203" s="4">
        <v>45000</v>
      </c>
      <c r="H203" s="4">
        <v>44000</v>
      </c>
      <c r="I203" s="13">
        <v>840000</v>
      </c>
      <c r="J203" s="4">
        <v>60</v>
      </c>
      <c r="K203" s="4">
        <v>1</v>
      </c>
      <c r="L203" s="4" t="s">
        <v>14</v>
      </c>
      <c r="M203" s="4" t="s">
        <v>15</v>
      </c>
      <c r="N203" s="4" t="s">
        <v>623</v>
      </c>
      <c r="O203" s="4" t="s">
        <v>625</v>
      </c>
      <c r="P203" s="5">
        <v>0.18</v>
      </c>
      <c r="Q203" s="14">
        <f>PMT($AB$27/12,$AB$30,-$AB$26)</f>
        <v>21330.479038771631</v>
      </c>
      <c r="R203" s="4">
        <v>680000</v>
      </c>
      <c r="S203" s="2" t="s">
        <v>12</v>
      </c>
    </row>
    <row r="204" spans="1:19" x14ac:dyDescent="0.3">
      <c r="A204" s="4">
        <v>203</v>
      </c>
      <c r="B204" s="4" t="s">
        <v>223</v>
      </c>
      <c r="C204" s="4" t="s">
        <v>11</v>
      </c>
      <c r="D204" s="4" t="s">
        <v>12</v>
      </c>
      <c r="E204" s="4" t="s">
        <v>22</v>
      </c>
      <c r="F204" s="4" t="s">
        <v>12</v>
      </c>
      <c r="G204" s="4">
        <v>54000</v>
      </c>
      <c r="H204" s="4">
        <v>0</v>
      </c>
      <c r="I204" s="13">
        <v>550000</v>
      </c>
      <c r="J204" s="4">
        <v>60</v>
      </c>
      <c r="K204" s="4">
        <v>1</v>
      </c>
      <c r="L204" s="4" t="s">
        <v>18</v>
      </c>
      <c r="M204" s="4" t="s">
        <v>15</v>
      </c>
      <c r="N204" s="4" t="s">
        <v>623</v>
      </c>
      <c r="O204" s="4" t="s">
        <v>625</v>
      </c>
      <c r="P204" s="5">
        <v>0.18</v>
      </c>
      <c r="Q204" s="14">
        <f>PMT($AB$33/12,$AB$36,-$AB$32)</f>
        <v>13966.385084909996</v>
      </c>
      <c r="R204" s="4">
        <v>500000</v>
      </c>
      <c r="S204" s="2" t="s">
        <v>12</v>
      </c>
    </row>
    <row r="205" spans="1:19" x14ac:dyDescent="0.3">
      <c r="A205" s="4">
        <v>204</v>
      </c>
      <c r="B205" s="4" t="s">
        <v>224</v>
      </c>
      <c r="C205" s="4" t="s">
        <v>11</v>
      </c>
      <c r="D205" s="4" t="s">
        <v>12</v>
      </c>
      <c r="E205" s="4" t="s">
        <v>13</v>
      </c>
      <c r="F205" s="4" t="s">
        <v>12</v>
      </c>
      <c r="G205" s="4">
        <v>87000</v>
      </c>
      <c r="H205" s="4">
        <v>0</v>
      </c>
      <c r="I205" s="13">
        <v>1000000</v>
      </c>
      <c r="J205" s="4">
        <v>60</v>
      </c>
      <c r="K205" s="4">
        <v>1</v>
      </c>
      <c r="L205" s="4" t="s">
        <v>14</v>
      </c>
      <c r="M205" s="4" t="s">
        <v>15</v>
      </c>
      <c r="N205" s="4" t="s">
        <v>623</v>
      </c>
      <c r="O205" s="4" t="s">
        <v>625</v>
      </c>
      <c r="P205" s="5">
        <v>0.18</v>
      </c>
      <c r="Q205" s="14">
        <f>PMT($V$3/12,$V$6,-$V$2)</f>
        <v>25393.427427109084</v>
      </c>
      <c r="R205" s="4">
        <v>700000</v>
      </c>
      <c r="S205" s="2" t="s">
        <v>12</v>
      </c>
    </row>
    <row r="206" spans="1:19" x14ac:dyDescent="0.3">
      <c r="A206" s="4">
        <v>205</v>
      </c>
      <c r="B206" s="4" t="s">
        <v>225</v>
      </c>
      <c r="C206" s="4" t="s">
        <v>11</v>
      </c>
      <c r="D206" s="4" t="s">
        <v>12</v>
      </c>
      <c r="E206" s="4" t="s">
        <v>13</v>
      </c>
      <c r="F206" s="4" t="s">
        <v>12</v>
      </c>
      <c r="G206" s="4">
        <v>24601</v>
      </c>
      <c r="H206" s="4">
        <v>0</v>
      </c>
      <c r="I206" s="13">
        <v>423601</v>
      </c>
      <c r="J206" s="4">
        <v>60</v>
      </c>
      <c r="K206" s="4">
        <v>1</v>
      </c>
      <c r="L206" s="4" t="s">
        <v>27</v>
      </c>
      <c r="M206" s="4" t="s">
        <v>19</v>
      </c>
      <c r="N206" s="4" t="s">
        <v>623</v>
      </c>
      <c r="O206" s="4" t="s">
        <v>625</v>
      </c>
      <c r="P206" s="5">
        <v>0.18</v>
      </c>
      <c r="Q206" s="14">
        <f>PMT($AB$39/12,$AB$42,-$AB$38)</f>
        <v>10756.681251550835</v>
      </c>
      <c r="R206" s="4" t="s">
        <v>635</v>
      </c>
      <c r="S206" s="2" t="s">
        <v>12</v>
      </c>
    </row>
    <row r="207" spans="1:19" x14ac:dyDescent="0.3">
      <c r="A207" s="4">
        <v>206</v>
      </c>
      <c r="B207" s="4" t="s">
        <v>226</v>
      </c>
      <c r="C207" s="4" t="s">
        <v>38</v>
      </c>
      <c r="D207" s="4" t="s">
        <v>12</v>
      </c>
      <c r="E207" s="4" t="s">
        <v>13</v>
      </c>
      <c r="F207" s="4" t="s">
        <v>12</v>
      </c>
      <c r="G207" s="4">
        <v>75000</v>
      </c>
      <c r="H207" s="4">
        <v>0</v>
      </c>
      <c r="I207" s="13">
        <v>358000</v>
      </c>
      <c r="J207" s="4">
        <v>60</v>
      </c>
      <c r="K207" s="4">
        <v>1</v>
      </c>
      <c r="L207" s="4" t="s">
        <v>27</v>
      </c>
      <c r="M207" s="4" t="s">
        <v>19</v>
      </c>
      <c r="N207" s="4" t="s">
        <v>623</v>
      </c>
      <c r="O207" s="4" t="s">
        <v>625</v>
      </c>
      <c r="P207" s="5">
        <v>0.18</v>
      </c>
      <c r="Q207" s="14">
        <f>PMT($AB$45/12,$AB$48,-$AB$44)</f>
        <v>9090.8470189050531</v>
      </c>
      <c r="R207" s="4">
        <v>600000</v>
      </c>
      <c r="S207" s="2" t="s">
        <v>12</v>
      </c>
    </row>
    <row r="208" spans="1:19" x14ac:dyDescent="0.3">
      <c r="A208" s="4">
        <v>207</v>
      </c>
      <c r="B208" s="4" t="s">
        <v>227</v>
      </c>
      <c r="C208" s="4" t="s">
        <v>11</v>
      </c>
      <c r="D208" s="4" t="s">
        <v>17</v>
      </c>
      <c r="E208" s="4" t="s">
        <v>13</v>
      </c>
      <c r="F208" s="4" t="s">
        <v>12</v>
      </c>
      <c r="G208" s="4">
        <v>69700</v>
      </c>
      <c r="H208" s="4">
        <v>0</v>
      </c>
      <c r="I208" s="13">
        <v>587000</v>
      </c>
      <c r="J208" s="4">
        <v>60</v>
      </c>
      <c r="K208" s="4">
        <v>0</v>
      </c>
      <c r="L208" s="4" t="s">
        <v>27</v>
      </c>
      <c r="M208" s="4" t="s">
        <v>19</v>
      </c>
      <c r="N208" s="4" t="s">
        <v>623</v>
      </c>
      <c r="O208" s="4" t="s">
        <v>625</v>
      </c>
      <c r="P208" s="5">
        <v>0.18</v>
      </c>
      <c r="Q208" s="14">
        <f>PMT($AB$51/12,$AB$54,-$AB$50)</f>
        <v>14905.941899713032</v>
      </c>
      <c r="R208" s="4">
        <v>720000</v>
      </c>
      <c r="S208" s="2" t="s">
        <v>12</v>
      </c>
    </row>
    <row r="209" spans="1:19" x14ac:dyDescent="0.3">
      <c r="A209" s="4">
        <v>208</v>
      </c>
      <c r="B209" s="4" t="s">
        <v>228</v>
      </c>
      <c r="C209" s="4" t="s">
        <v>11</v>
      </c>
      <c r="D209" s="4" t="s">
        <v>17</v>
      </c>
      <c r="E209" s="4" t="s">
        <v>13</v>
      </c>
      <c r="F209" s="4" t="s">
        <v>17</v>
      </c>
      <c r="G209" s="4">
        <v>52400</v>
      </c>
      <c r="H209" s="4">
        <v>48733</v>
      </c>
      <c r="I209" s="13">
        <v>789000</v>
      </c>
      <c r="J209" s="4">
        <v>60</v>
      </c>
      <c r="K209" s="4">
        <v>1</v>
      </c>
      <c r="L209" s="4" t="s">
        <v>14</v>
      </c>
      <c r="M209" s="4" t="s">
        <v>15</v>
      </c>
      <c r="N209" s="4" t="s">
        <v>623</v>
      </c>
      <c r="O209" s="4" t="s">
        <v>625</v>
      </c>
      <c r="P209" s="5">
        <v>0.18</v>
      </c>
      <c r="Q209" s="14">
        <f>PMT($V$45/12,$V$48,-$V$44)</f>
        <v>20035.414239989066</v>
      </c>
      <c r="R209" s="4">
        <v>910000</v>
      </c>
      <c r="S209" s="2" t="s">
        <v>17</v>
      </c>
    </row>
    <row r="210" spans="1:19" x14ac:dyDescent="0.3">
      <c r="A210" s="4">
        <v>209</v>
      </c>
      <c r="B210" s="4" t="s">
        <v>229</v>
      </c>
      <c r="C210" s="4" t="s">
        <v>11</v>
      </c>
      <c r="D210" s="4" t="s">
        <v>17</v>
      </c>
      <c r="E210" s="4" t="s">
        <v>22</v>
      </c>
      <c r="F210" s="4" t="s">
        <v>17</v>
      </c>
      <c r="G210" s="4">
        <v>47860</v>
      </c>
      <c r="H210" s="4">
        <v>24970</v>
      </c>
      <c r="I210" s="13">
        <v>975000</v>
      </c>
      <c r="J210" s="4">
        <v>60</v>
      </c>
      <c r="K210" s="4">
        <v>1</v>
      </c>
      <c r="L210" s="4" t="s">
        <v>18</v>
      </c>
      <c r="M210" s="4" t="s">
        <v>15</v>
      </c>
      <c r="N210" s="4" t="s">
        <v>623</v>
      </c>
      <c r="O210" s="4" t="s">
        <v>625</v>
      </c>
      <c r="P210" s="5">
        <v>0.18</v>
      </c>
      <c r="Q210" s="14">
        <f>PMT($Y$45/12,$Y$48,-$Y$44)</f>
        <v>24758.591741431355</v>
      </c>
      <c r="R210" s="4">
        <v>650000</v>
      </c>
      <c r="S210" s="2" t="s">
        <v>17</v>
      </c>
    </row>
    <row r="211" spans="1:19" x14ac:dyDescent="0.3">
      <c r="A211" s="4">
        <v>210</v>
      </c>
      <c r="B211" s="4" t="s">
        <v>230</v>
      </c>
      <c r="C211" s="4" t="s">
        <v>11</v>
      </c>
      <c r="D211" s="4" t="s">
        <v>17</v>
      </c>
      <c r="E211" s="4" t="s">
        <v>13</v>
      </c>
      <c r="F211" s="4" t="s">
        <v>12</v>
      </c>
      <c r="G211" s="4">
        <v>56980</v>
      </c>
      <c r="H211" s="4">
        <v>25600</v>
      </c>
      <c r="I211" s="13">
        <v>849300</v>
      </c>
      <c r="J211" s="4">
        <v>60</v>
      </c>
      <c r="K211" s="4">
        <v>1</v>
      </c>
      <c r="L211" s="4" t="s">
        <v>14</v>
      </c>
      <c r="M211" s="4" t="s">
        <v>15</v>
      </c>
      <c r="N211" s="4" t="s">
        <v>623</v>
      </c>
      <c r="O211" s="4" t="s">
        <v>625</v>
      </c>
      <c r="P211" s="5">
        <v>0.18</v>
      </c>
      <c r="Q211" s="14">
        <f>PMT($V$51/12,$V$54,-$V$50)</f>
        <v>21566.637913843744</v>
      </c>
      <c r="R211" s="4">
        <v>620000</v>
      </c>
      <c r="S211" s="2" t="s">
        <v>12</v>
      </c>
    </row>
    <row r="212" spans="1:19" x14ac:dyDescent="0.3">
      <c r="A212" s="4">
        <v>211</v>
      </c>
      <c r="B212" s="4" t="s">
        <v>231</v>
      </c>
      <c r="C212" s="4" t="s">
        <v>11</v>
      </c>
      <c r="D212" s="4" t="s">
        <v>17</v>
      </c>
      <c r="E212" s="4" t="s">
        <v>22</v>
      </c>
      <c r="F212" s="4" t="s">
        <v>12</v>
      </c>
      <c r="G212" s="4">
        <v>49800</v>
      </c>
      <c r="H212" s="4">
        <v>0</v>
      </c>
      <c r="I212" s="13">
        <v>487500</v>
      </c>
      <c r="J212" s="4">
        <v>60</v>
      </c>
      <c r="K212" s="4">
        <v>1</v>
      </c>
      <c r="L212" s="4" t="s">
        <v>27</v>
      </c>
      <c r="M212" s="4" t="s">
        <v>15</v>
      </c>
      <c r="N212" s="4" t="s">
        <v>623</v>
      </c>
      <c r="O212" s="4" t="s">
        <v>625</v>
      </c>
      <c r="P212" s="5">
        <v>0.18</v>
      </c>
      <c r="Q212" s="14">
        <f>PMT($Y$51/12,$Y$54,-$Y$50)</f>
        <v>12379.295870715678</v>
      </c>
      <c r="R212" s="4">
        <v>300000</v>
      </c>
      <c r="S212" s="2" t="s">
        <v>17</v>
      </c>
    </row>
    <row r="213" spans="1:19" x14ac:dyDescent="0.3">
      <c r="A213" s="4">
        <v>212</v>
      </c>
      <c r="B213" s="4" t="s">
        <v>232</v>
      </c>
      <c r="C213" s="4" t="s">
        <v>11</v>
      </c>
      <c r="D213" s="4" t="s">
        <v>17</v>
      </c>
      <c r="E213" s="4" t="s">
        <v>13</v>
      </c>
      <c r="F213" s="4" t="s">
        <v>12</v>
      </c>
      <c r="G213" s="4">
        <v>58799</v>
      </c>
      <c r="H213" s="4">
        <v>26870</v>
      </c>
      <c r="I213" s="13">
        <v>875644</v>
      </c>
      <c r="J213" s="4">
        <v>60</v>
      </c>
      <c r="K213" s="4">
        <v>1</v>
      </c>
      <c r="L213" s="4" t="s">
        <v>18</v>
      </c>
      <c r="M213" s="4" t="s">
        <v>19</v>
      </c>
      <c r="N213" s="4" t="s">
        <v>623</v>
      </c>
      <c r="O213" s="4" t="s">
        <v>625</v>
      </c>
      <c r="P213" s="5">
        <v>0.18</v>
      </c>
      <c r="Q213" s="14">
        <f>PMT($V$57/12,$V$60,-$V$56)</f>
        <v>22235.602365983505</v>
      </c>
      <c r="R213" s="4">
        <v>640000</v>
      </c>
      <c r="S213" s="2" t="s">
        <v>12</v>
      </c>
    </row>
    <row r="214" spans="1:19" x14ac:dyDescent="0.3">
      <c r="A214" s="4">
        <v>213</v>
      </c>
      <c r="B214" s="4" t="s">
        <v>233</v>
      </c>
      <c r="C214" s="4" t="s">
        <v>11</v>
      </c>
      <c r="D214" s="4" t="s">
        <v>17</v>
      </c>
      <c r="E214" s="4" t="s">
        <v>13</v>
      </c>
      <c r="F214" s="4" t="s">
        <v>12</v>
      </c>
      <c r="G214" s="4">
        <v>48799</v>
      </c>
      <c r="H214" s="4">
        <v>34690</v>
      </c>
      <c r="I214" s="13">
        <v>654420</v>
      </c>
      <c r="J214" s="4">
        <v>60</v>
      </c>
      <c r="K214" s="4">
        <v>1</v>
      </c>
      <c r="L214" s="4" t="s">
        <v>27</v>
      </c>
      <c r="M214" s="4" t="s">
        <v>15</v>
      </c>
      <c r="N214" s="4" t="s">
        <v>623</v>
      </c>
      <c r="O214" s="4" t="s">
        <v>625</v>
      </c>
      <c r="P214" s="5">
        <v>0.18</v>
      </c>
      <c r="Q214" s="14">
        <f>PMT($Y$57/12,$Y$60,-$Y$56)</f>
        <v>16617.966776848727</v>
      </c>
      <c r="R214" s="4">
        <v>530000</v>
      </c>
      <c r="S214" s="2" t="s">
        <v>12</v>
      </c>
    </row>
    <row r="215" spans="1:19" x14ac:dyDescent="0.3">
      <c r="A215" s="4">
        <v>214</v>
      </c>
      <c r="B215" s="4" t="s">
        <v>234</v>
      </c>
      <c r="C215" s="4" t="s">
        <v>11</v>
      </c>
      <c r="D215" s="4" t="s">
        <v>17</v>
      </c>
      <c r="E215" s="4" t="s">
        <v>13</v>
      </c>
      <c r="F215" s="4" t="s">
        <v>17</v>
      </c>
      <c r="G215" s="4">
        <v>35000</v>
      </c>
      <c r="H215" s="4">
        <v>48700</v>
      </c>
      <c r="I215" s="13">
        <v>800000</v>
      </c>
      <c r="J215" s="4">
        <v>60</v>
      </c>
      <c r="K215" s="4">
        <v>0</v>
      </c>
      <c r="L215" s="4" t="s">
        <v>27</v>
      </c>
      <c r="M215" s="4" t="s">
        <v>19</v>
      </c>
      <c r="N215" s="4" t="s">
        <v>623</v>
      </c>
      <c r="O215" s="4" t="s">
        <v>625</v>
      </c>
      <c r="P215" s="5">
        <v>0.18</v>
      </c>
      <c r="Q215" s="14">
        <f>PMT($V$33/12,$V$36,-$V$32)</f>
        <v>20314.741941687265</v>
      </c>
      <c r="R215" s="4">
        <v>410000</v>
      </c>
      <c r="S215" s="2" t="s">
        <v>12</v>
      </c>
    </row>
    <row r="216" spans="1:19" x14ac:dyDescent="0.3">
      <c r="A216" s="4">
        <v>215</v>
      </c>
      <c r="B216" s="4" t="s">
        <v>235</v>
      </c>
      <c r="C216" s="4" t="s">
        <v>38</v>
      </c>
      <c r="D216" s="4" t="s">
        <v>17</v>
      </c>
      <c r="E216" s="4" t="s">
        <v>13</v>
      </c>
      <c r="F216" s="4" t="s">
        <v>12</v>
      </c>
      <c r="G216" s="4">
        <v>35000</v>
      </c>
      <c r="H216" s="4">
        <v>0</v>
      </c>
      <c r="I216" s="13">
        <v>620000</v>
      </c>
      <c r="J216" s="4">
        <v>60</v>
      </c>
      <c r="K216" s="4">
        <v>0</v>
      </c>
      <c r="L216" s="4" t="s">
        <v>27</v>
      </c>
      <c r="M216" s="4" t="s">
        <v>15</v>
      </c>
      <c r="N216" s="4" t="s">
        <v>623</v>
      </c>
      <c r="O216" s="4" t="s">
        <v>625</v>
      </c>
      <c r="P216" s="5">
        <v>0.18</v>
      </c>
      <c r="Q216" s="14">
        <f>PMT($AB$15/12,$AB$18,-$AB$14)</f>
        <v>15743.925004807632</v>
      </c>
      <c r="R216" s="4">
        <v>300000</v>
      </c>
      <c r="S216" s="2" t="s">
        <v>12</v>
      </c>
    </row>
    <row r="217" spans="1:19" x14ac:dyDescent="0.3">
      <c r="A217" s="4">
        <v>216</v>
      </c>
      <c r="B217" s="4" t="s">
        <v>236</v>
      </c>
      <c r="C217" s="4" t="s">
        <v>11</v>
      </c>
      <c r="D217" s="4" t="s">
        <v>17</v>
      </c>
      <c r="E217" s="4" t="s">
        <v>13</v>
      </c>
      <c r="F217" s="4" t="s">
        <v>12</v>
      </c>
      <c r="G217" s="4">
        <v>21654</v>
      </c>
      <c r="H217" s="4">
        <v>14620</v>
      </c>
      <c r="I217" s="13">
        <v>489300</v>
      </c>
      <c r="J217" s="4">
        <v>60</v>
      </c>
      <c r="K217" s="4">
        <v>0</v>
      </c>
      <c r="L217" s="4" t="s">
        <v>14</v>
      </c>
      <c r="M217" s="4" t="s">
        <v>19</v>
      </c>
      <c r="N217" s="4" t="s">
        <v>623</v>
      </c>
      <c r="O217" s="4" t="s">
        <v>625</v>
      </c>
      <c r="P217" s="5">
        <v>0.18</v>
      </c>
      <c r="Q217" s="14">
        <f>PMT($AB$57/12,$AB$60,-$AB$56)</f>
        <v>12425.004040084474</v>
      </c>
      <c r="R217" s="4">
        <v>200000</v>
      </c>
      <c r="S217" s="2" t="s">
        <v>12</v>
      </c>
    </row>
    <row r="218" spans="1:19" x14ac:dyDescent="0.3">
      <c r="A218" s="4">
        <v>217</v>
      </c>
      <c r="B218" s="4" t="s">
        <v>237</v>
      </c>
      <c r="C218" s="4" t="s">
        <v>11</v>
      </c>
      <c r="D218" s="4" t="s">
        <v>17</v>
      </c>
      <c r="E218" s="4" t="s">
        <v>13</v>
      </c>
      <c r="F218" s="4" t="s">
        <v>12</v>
      </c>
      <c r="G218" s="4">
        <v>25000</v>
      </c>
      <c r="H218" s="4">
        <v>0</v>
      </c>
      <c r="I218" s="13">
        <v>500000</v>
      </c>
      <c r="J218" s="4">
        <v>60</v>
      </c>
      <c r="K218" s="4">
        <v>1</v>
      </c>
      <c r="L218" s="4" t="s">
        <v>27</v>
      </c>
      <c r="M218" s="4" t="s">
        <v>15</v>
      </c>
      <c r="N218" s="4" t="s">
        <v>623</v>
      </c>
      <c r="O218" s="4" t="s">
        <v>625</v>
      </c>
      <c r="P218" s="5">
        <v>0.18</v>
      </c>
      <c r="Q218" s="14">
        <f>PMT($V$15/12,$V$18,-$V$14)</f>
        <v>12696.713713554542</v>
      </c>
      <c r="R218" s="4" t="s">
        <v>635</v>
      </c>
      <c r="S218" s="2" t="s">
        <v>12</v>
      </c>
    </row>
    <row r="219" spans="1:19" x14ac:dyDescent="0.3">
      <c r="A219" s="4">
        <v>218</v>
      </c>
      <c r="B219" s="4" t="s">
        <v>238</v>
      </c>
      <c r="C219" s="4" t="s">
        <v>11</v>
      </c>
      <c r="D219" s="4" t="s">
        <v>12</v>
      </c>
      <c r="E219" s="4" t="s">
        <v>13</v>
      </c>
      <c r="F219" s="4" t="s">
        <v>12</v>
      </c>
      <c r="G219" s="4">
        <v>35700</v>
      </c>
      <c r="H219" s="4">
        <v>0</v>
      </c>
      <c r="I219" s="13">
        <v>478000</v>
      </c>
      <c r="J219" s="4">
        <v>60</v>
      </c>
      <c r="K219" s="4">
        <v>1</v>
      </c>
      <c r="L219" s="4" t="s">
        <v>27</v>
      </c>
      <c r="M219" s="4" t="s">
        <v>15</v>
      </c>
      <c r="N219" s="4" t="s">
        <v>623</v>
      </c>
      <c r="O219" s="4" t="s">
        <v>625</v>
      </c>
      <c r="P219" s="5">
        <v>0.18</v>
      </c>
      <c r="Q219" s="14">
        <f>PMT($V$63/12,$V$66,-$V$62)</f>
        <v>12138.058310158141</v>
      </c>
      <c r="R219" s="4">
        <v>250000</v>
      </c>
      <c r="S219" s="2" t="s">
        <v>12</v>
      </c>
    </row>
    <row r="220" spans="1:19" x14ac:dyDescent="0.3">
      <c r="A220" s="4">
        <v>219</v>
      </c>
      <c r="B220" s="4" t="s">
        <v>239</v>
      </c>
      <c r="C220" s="4" t="s">
        <v>11</v>
      </c>
      <c r="D220" s="4" t="s">
        <v>17</v>
      </c>
      <c r="E220" s="4" t="s">
        <v>13</v>
      </c>
      <c r="F220" s="4" t="s">
        <v>12</v>
      </c>
      <c r="G220" s="4">
        <v>48550</v>
      </c>
      <c r="H220" s="4">
        <v>54800</v>
      </c>
      <c r="I220" s="13">
        <v>748890</v>
      </c>
      <c r="J220" s="4">
        <v>60</v>
      </c>
      <c r="K220" s="4">
        <v>1</v>
      </c>
      <c r="L220" s="4" t="s">
        <v>27</v>
      </c>
      <c r="M220" s="4" t="s">
        <v>15</v>
      </c>
      <c r="N220" s="4" t="s">
        <v>623</v>
      </c>
      <c r="O220" s="4" t="s">
        <v>625</v>
      </c>
      <c r="P220" s="5">
        <v>0.18</v>
      </c>
      <c r="Q220" s="14">
        <f>PMT($Y$63/12,$Y$66,-$Y$62)</f>
        <v>19016.883865887721</v>
      </c>
      <c r="R220" s="4">
        <v>300000</v>
      </c>
      <c r="S220" s="2" t="s">
        <v>12</v>
      </c>
    </row>
    <row r="221" spans="1:19" x14ac:dyDescent="0.3">
      <c r="A221" s="4">
        <v>220</v>
      </c>
      <c r="B221" s="4" t="s">
        <v>240</v>
      </c>
      <c r="C221" s="4" t="s">
        <v>11</v>
      </c>
      <c r="D221" s="4" t="s">
        <v>17</v>
      </c>
      <c r="E221" s="4" t="s">
        <v>13</v>
      </c>
      <c r="F221" s="4" t="s">
        <v>12</v>
      </c>
      <c r="G221" s="4">
        <v>150000</v>
      </c>
      <c r="H221" s="4">
        <v>0</v>
      </c>
      <c r="I221" s="13">
        <v>1500000</v>
      </c>
      <c r="J221" s="4">
        <v>60</v>
      </c>
      <c r="K221" s="4">
        <v>1</v>
      </c>
      <c r="L221" s="4" t="s">
        <v>27</v>
      </c>
      <c r="M221" s="4" t="s">
        <v>15</v>
      </c>
      <c r="N221" s="4" t="s">
        <v>623</v>
      </c>
      <c r="O221" s="4" t="s">
        <v>625</v>
      </c>
      <c r="P221" s="5">
        <v>0.18</v>
      </c>
      <c r="Q221" s="14">
        <f>PMT($V$9/12,$V$12,-$V$8)</f>
        <v>38090.141140663625</v>
      </c>
      <c r="R221" s="4">
        <v>900000</v>
      </c>
      <c r="S221" s="2" t="s">
        <v>12</v>
      </c>
    </row>
    <row r="222" spans="1:19" x14ac:dyDescent="0.3">
      <c r="A222" s="4">
        <v>221</v>
      </c>
      <c r="B222" s="4" t="s">
        <v>241</v>
      </c>
      <c r="C222" s="4" t="s">
        <v>11</v>
      </c>
      <c r="D222" s="4" t="s">
        <v>17</v>
      </c>
      <c r="E222" s="4" t="s">
        <v>13</v>
      </c>
      <c r="F222" s="4" t="s">
        <v>12</v>
      </c>
      <c r="G222" s="4">
        <v>50000</v>
      </c>
      <c r="H222" s="4">
        <v>0</v>
      </c>
      <c r="I222" s="13">
        <v>1000000</v>
      </c>
      <c r="J222" s="4">
        <v>60</v>
      </c>
      <c r="K222" s="4">
        <v>1</v>
      </c>
      <c r="L222" s="4" t="s">
        <v>18</v>
      </c>
      <c r="M222" s="4" t="s">
        <v>19</v>
      </c>
      <c r="N222" s="4" t="s">
        <v>623</v>
      </c>
      <c r="O222" s="4" t="s">
        <v>625</v>
      </c>
      <c r="P222" s="5">
        <v>0.18</v>
      </c>
      <c r="Q222" s="14">
        <f>PMT($V$3/12,$V$6,-$V$2)</f>
        <v>25393.427427109084</v>
      </c>
      <c r="R222" s="4">
        <v>620000</v>
      </c>
      <c r="S222" s="2" t="s">
        <v>17</v>
      </c>
    </row>
    <row r="223" spans="1:19" x14ac:dyDescent="0.3">
      <c r="A223" s="4">
        <v>222</v>
      </c>
      <c r="B223" s="4" t="s">
        <v>242</v>
      </c>
      <c r="C223" s="4" t="s">
        <v>11</v>
      </c>
      <c r="D223" s="4" t="s">
        <v>17</v>
      </c>
      <c r="E223" s="4" t="s">
        <v>22</v>
      </c>
      <c r="F223" s="4" t="s">
        <v>17</v>
      </c>
      <c r="G223" s="4">
        <v>100000</v>
      </c>
      <c r="H223" s="4">
        <v>35000</v>
      </c>
      <c r="I223" s="13">
        <v>1500000</v>
      </c>
      <c r="J223" s="4">
        <v>60</v>
      </c>
      <c r="K223" s="4">
        <v>1</v>
      </c>
      <c r="L223" s="4" t="s">
        <v>14</v>
      </c>
      <c r="M223" s="4" t="s">
        <v>19</v>
      </c>
      <c r="N223" s="4" t="s">
        <v>623</v>
      </c>
      <c r="O223" s="4" t="s">
        <v>625</v>
      </c>
      <c r="P223" s="5">
        <v>0.18</v>
      </c>
      <c r="Q223" s="14">
        <f t="shared" ref="Q223:Q224" si="19">PMT($V$9/12,$V$12,-$V$8)</f>
        <v>38090.141140663625</v>
      </c>
      <c r="R223" s="4">
        <v>840000</v>
      </c>
      <c r="S223" s="2" t="s">
        <v>12</v>
      </c>
    </row>
    <row r="224" spans="1:19" x14ac:dyDescent="0.3">
      <c r="A224" s="4">
        <v>223</v>
      </c>
      <c r="B224" s="4" t="s">
        <v>243</v>
      </c>
      <c r="C224" s="4" t="s">
        <v>11</v>
      </c>
      <c r="D224" s="4" t="s">
        <v>17</v>
      </c>
      <c r="E224" s="4" t="s">
        <v>13</v>
      </c>
      <c r="F224" s="4" t="s">
        <v>12</v>
      </c>
      <c r="G224" s="4">
        <v>80000</v>
      </c>
      <c r="H224" s="4">
        <v>0</v>
      </c>
      <c r="I224" s="13">
        <v>1500000</v>
      </c>
      <c r="J224" s="4">
        <v>60</v>
      </c>
      <c r="K224" s="4">
        <v>1</v>
      </c>
      <c r="L224" s="4" t="s">
        <v>27</v>
      </c>
      <c r="M224" s="4" t="s">
        <v>15</v>
      </c>
      <c r="N224" s="4" t="s">
        <v>623</v>
      </c>
      <c r="O224" s="4" t="s">
        <v>625</v>
      </c>
      <c r="P224" s="5">
        <v>0.18</v>
      </c>
      <c r="Q224" s="14">
        <f t="shared" si="19"/>
        <v>38090.141140663625</v>
      </c>
      <c r="R224" s="4">
        <v>760000</v>
      </c>
      <c r="S224" s="2" t="s">
        <v>12</v>
      </c>
    </row>
    <row r="225" spans="1:19" x14ac:dyDescent="0.3">
      <c r="A225" s="4">
        <v>224</v>
      </c>
      <c r="B225" s="4" t="s">
        <v>244</v>
      </c>
      <c r="C225" s="4" t="s">
        <v>11</v>
      </c>
      <c r="D225" s="4" t="s">
        <v>12</v>
      </c>
      <c r="E225" s="4" t="s">
        <v>13</v>
      </c>
      <c r="F225" s="4" t="s">
        <v>17</v>
      </c>
      <c r="G225" s="4">
        <v>50000</v>
      </c>
      <c r="H225" s="4">
        <v>0</v>
      </c>
      <c r="I225" s="13">
        <v>500000</v>
      </c>
      <c r="J225" s="4">
        <v>60</v>
      </c>
      <c r="K225" s="4">
        <v>1</v>
      </c>
      <c r="L225" s="4" t="s">
        <v>18</v>
      </c>
      <c r="M225" s="4" t="s">
        <v>15</v>
      </c>
      <c r="N225" s="4" t="s">
        <v>623</v>
      </c>
      <c r="O225" s="4" t="s">
        <v>625</v>
      </c>
      <c r="P225" s="5">
        <v>0.18</v>
      </c>
      <c r="Q225" s="14">
        <f>PMT($V$15/12,$V$18,-$V$14)</f>
        <v>12696.713713554542</v>
      </c>
      <c r="R225" s="4">
        <v>430000</v>
      </c>
      <c r="S225" s="2" t="s">
        <v>17</v>
      </c>
    </row>
    <row r="226" spans="1:19" x14ac:dyDescent="0.3">
      <c r="A226" s="4">
        <v>225</v>
      </c>
      <c r="B226" s="4" t="s">
        <v>245</v>
      </c>
      <c r="C226" s="4" t="s">
        <v>11</v>
      </c>
      <c r="D226" s="4" t="s">
        <v>17</v>
      </c>
      <c r="E226" s="4" t="s">
        <v>13</v>
      </c>
      <c r="F226" s="4" t="s">
        <v>12</v>
      </c>
      <c r="G226" s="4">
        <v>45000</v>
      </c>
      <c r="H226" s="4">
        <v>44000</v>
      </c>
      <c r="I226" s="13">
        <v>840000</v>
      </c>
      <c r="J226" s="4">
        <v>60</v>
      </c>
      <c r="K226" s="4">
        <v>1</v>
      </c>
      <c r="L226" s="4" t="s">
        <v>27</v>
      </c>
      <c r="M226" s="4" t="s">
        <v>15</v>
      </c>
      <c r="N226" s="4" t="s">
        <v>623</v>
      </c>
      <c r="O226" s="4" t="s">
        <v>625</v>
      </c>
      <c r="P226" s="5">
        <v>0.18</v>
      </c>
      <c r="Q226" s="14">
        <f>PMT($AB$27/12,$AB$30,-$AB$26)</f>
        <v>21330.479038771631</v>
      </c>
      <c r="R226" s="4">
        <v>400000</v>
      </c>
      <c r="S226" s="2" t="s">
        <v>12</v>
      </c>
    </row>
    <row r="227" spans="1:19" x14ac:dyDescent="0.3">
      <c r="A227" s="4">
        <v>226</v>
      </c>
      <c r="B227" s="4" t="s">
        <v>246</v>
      </c>
      <c r="C227" s="4" t="s">
        <v>11</v>
      </c>
      <c r="D227" s="4" t="s">
        <v>17</v>
      </c>
      <c r="E227" s="4" t="s">
        <v>13</v>
      </c>
      <c r="F227" s="4" t="s">
        <v>17</v>
      </c>
      <c r="G227" s="4">
        <v>54000</v>
      </c>
      <c r="H227" s="4">
        <v>0</v>
      </c>
      <c r="I227" s="13">
        <v>550000</v>
      </c>
      <c r="J227" s="4">
        <v>60</v>
      </c>
      <c r="K227" s="4">
        <v>1</v>
      </c>
      <c r="L227" s="4" t="s">
        <v>18</v>
      </c>
      <c r="M227" s="4" t="s">
        <v>15</v>
      </c>
      <c r="N227" s="4" t="s">
        <v>623</v>
      </c>
      <c r="O227" s="4" t="s">
        <v>625</v>
      </c>
      <c r="P227" s="5">
        <v>0.18</v>
      </c>
      <c r="Q227" s="14">
        <f>PMT($AB$33/12,$AB$36,-$AB$32)</f>
        <v>13966.385084909996</v>
      </c>
      <c r="R227" s="4">
        <v>350000</v>
      </c>
      <c r="S227" s="2" t="s">
        <v>12</v>
      </c>
    </row>
    <row r="228" spans="1:19" x14ac:dyDescent="0.3">
      <c r="A228" s="4">
        <v>227</v>
      </c>
      <c r="B228" s="4" t="s">
        <v>247</v>
      </c>
      <c r="C228" s="4" t="s">
        <v>11</v>
      </c>
      <c r="D228" s="4" t="s">
        <v>12</v>
      </c>
      <c r="E228" s="4" t="s">
        <v>22</v>
      </c>
      <c r="F228" s="4" t="s">
        <v>12</v>
      </c>
      <c r="G228" s="4">
        <v>87000</v>
      </c>
      <c r="H228" s="4">
        <v>0</v>
      </c>
      <c r="I228" s="13">
        <v>1000000</v>
      </c>
      <c r="J228" s="4">
        <v>60</v>
      </c>
      <c r="K228" s="4">
        <v>1</v>
      </c>
      <c r="L228" s="4" t="s">
        <v>18</v>
      </c>
      <c r="M228" s="4" t="s">
        <v>15</v>
      </c>
      <c r="N228" s="4" t="s">
        <v>623</v>
      </c>
      <c r="O228" s="4" t="s">
        <v>625</v>
      </c>
      <c r="P228" s="5">
        <v>0.18</v>
      </c>
      <c r="Q228" s="14">
        <f>PMT($V$3/12,$V$6,-$V$2)</f>
        <v>25393.427427109084</v>
      </c>
      <c r="R228" s="4">
        <v>760000</v>
      </c>
      <c r="S228" s="2" t="s">
        <v>12</v>
      </c>
    </row>
    <row r="229" spans="1:19" x14ac:dyDescent="0.3">
      <c r="A229" s="4">
        <v>228</v>
      </c>
      <c r="B229" s="4" t="s">
        <v>248</v>
      </c>
      <c r="C229" s="4" t="s">
        <v>38</v>
      </c>
      <c r="D229" s="4" t="s">
        <v>12</v>
      </c>
      <c r="E229" s="4" t="s">
        <v>13</v>
      </c>
      <c r="F229" s="4" t="s">
        <v>12</v>
      </c>
      <c r="G229" s="4">
        <v>24601</v>
      </c>
      <c r="H229" s="4">
        <v>0</v>
      </c>
      <c r="I229" s="13">
        <v>423601</v>
      </c>
      <c r="J229" s="4">
        <v>60</v>
      </c>
      <c r="K229" s="4">
        <v>1</v>
      </c>
      <c r="L229" s="4" t="s">
        <v>27</v>
      </c>
      <c r="M229" s="4" t="s">
        <v>15</v>
      </c>
      <c r="N229" s="4" t="s">
        <v>623</v>
      </c>
      <c r="O229" s="4" t="s">
        <v>625</v>
      </c>
      <c r="P229" s="5">
        <v>0.18</v>
      </c>
      <c r="Q229" s="14">
        <f>PMT($AB$39/12,$AB$42,-$AB$38)</f>
        <v>10756.681251550835</v>
      </c>
      <c r="R229" s="4" t="s">
        <v>635</v>
      </c>
      <c r="S229" s="2" t="s">
        <v>17</v>
      </c>
    </row>
    <row r="230" spans="1:19" x14ac:dyDescent="0.3">
      <c r="A230" s="4">
        <v>229</v>
      </c>
      <c r="B230" s="4" t="s">
        <v>249</v>
      </c>
      <c r="C230" s="4" t="s">
        <v>11</v>
      </c>
      <c r="D230" s="4" t="s">
        <v>17</v>
      </c>
      <c r="E230" s="4" t="s">
        <v>13</v>
      </c>
      <c r="F230" s="4" t="s">
        <v>12</v>
      </c>
      <c r="G230" s="4">
        <v>75000</v>
      </c>
      <c r="H230" s="4">
        <v>0</v>
      </c>
      <c r="I230" s="13">
        <v>358000</v>
      </c>
      <c r="J230" s="4">
        <v>60</v>
      </c>
      <c r="K230" s="4">
        <v>1</v>
      </c>
      <c r="L230" s="4" t="s">
        <v>27</v>
      </c>
      <c r="M230" s="4" t="s">
        <v>15</v>
      </c>
      <c r="N230" s="4" t="s">
        <v>623</v>
      </c>
      <c r="O230" s="4" t="s">
        <v>625</v>
      </c>
      <c r="P230" s="5">
        <v>0.18</v>
      </c>
      <c r="Q230" s="14">
        <f>PMT($AB$45/12,$AB$48,-$AB$44)</f>
        <v>9090.8470189050531</v>
      </c>
      <c r="R230" s="4">
        <v>500000</v>
      </c>
      <c r="S230" s="2" t="s">
        <v>12</v>
      </c>
    </row>
    <row r="231" spans="1:19" x14ac:dyDescent="0.3">
      <c r="A231" s="4">
        <v>230</v>
      </c>
      <c r="B231" s="4" t="s">
        <v>250</v>
      </c>
      <c r="C231" s="4" t="s">
        <v>11</v>
      </c>
      <c r="D231" s="4" t="s">
        <v>17</v>
      </c>
      <c r="E231" s="4" t="s">
        <v>13</v>
      </c>
      <c r="F231" s="4" t="s">
        <v>12</v>
      </c>
      <c r="G231" s="4">
        <v>69700</v>
      </c>
      <c r="H231" s="4">
        <v>0</v>
      </c>
      <c r="I231" s="13">
        <v>587000</v>
      </c>
      <c r="J231" s="4">
        <v>60</v>
      </c>
      <c r="K231" s="4">
        <v>1</v>
      </c>
      <c r="L231" s="4" t="s">
        <v>18</v>
      </c>
      <c r="M231" s="4" t="s">
        <v>15</v>
      </c>
      <c r="N231" s="4" t="s">
        <v>623</v>
      </c>
      <c r="O231" s="4" t="s">
        <v>625</v>
      </c>
      <c r="P231" s="5">
        <v>0.18</v>
      </c>
      <c r="Q231" s="14">
        <f>PMT($AB$51/12,$AB$54,-$AB$50)</f>
        <v>14905.941899713032</v>
      </c>
      <c r="R231" s="4">
        <v>600000</v>
      </c>
      <c r="S231" s="2" t="s">
        <v>12</v>
      </c>
    </row>
    <row r="232" spans="1:19" x14ac:dyDescent="0.3">
      <c r="A232" s="4">
        <v>231</v>
      </c>
      <c r="B232" s="4" t="s">
        <v>251</v>
      </c>
      <c r="C232" s="4" t="s">
        <v>11</v>
      </c>
      <c r="D232" s="4" t="s">
        <v>17</v>
      </c>
      <c r="E232" s="4" t="s">
        <v>13</v>
      </c>
      <c r="F232" s="4" t="s">
        <v>17</v>
      </c>
      <c r="G232" s="4">
        <v>52400</v>
      </c>
      <c r="H232" s="4">
        <v>48733</v>
      </c>
      <c r="I232" s="13">
        <v>789000</v>
      </c>
      <c r="J232" s="4">
        <v>60</v>
      </c>
      <c r="K232" s="4">
        <v>0</v>
      </c>
      <c r="L232" s="4" t="s">
        <v>14</v>
      </c>
      <c r="M232" s="4" t="s">
        <v>19</v>
      </c>
      <c r="N232" s="4" t="s">
        <v>623</v>
      </c>
      <c r="O232" s="4" t="s">
        <v>625</v>
      </c>
      <c r="P232" s="5">
        <v>0.18</v>
      </c>
      <c r="Q232" s="14">
        <f>PMT($V$45/12,$V$48,-$V$44)</f>
        <v>20035.414239989066</v>
      </c>
      <c r="R232" s="4">
        <v>850000</v>
      </c>
      <c r="S232" s="2" t="s">
        <v>12</v>
      </c>
    </row>
    <row r="233" spans="1:19" x14ac:dyDescent="0.3">
      <c r="A233" s="4">
        <v>232</v>
      </c>
      <c r="B233" s="4" t="s">
        <v>252</v>
      </c>
      <c r="C233" s="4" t="s">
        <v>38</v>
      </c>
      <c r="D233" s="4" t="s">
        <v>12</v>
      </c>
      <c r="E233" s="4" t="s">
        <v>13</v>
      </c>
      <c r="F233" s="4" t="s">
        <v>17</v>
      </c>
      <c r="G233" s="4">
        <v>47860</v>
      </c>
      <c r="H233" s="4">
        <v>24970</v>
      </c>
      <c r="I233" s="13">
        <v>975000</v>
      </c>
      <c r="J233" s="4">
        <v>60</v>
      </c>
      <c r="K233" s="4">
        <v>0</v>
      </c>
      <c r="L233" s="4" t="s">
        <v>14</v>
      </c>
      <c r="M233" s="4" t="s">
        <v>15</v>
      </c>
      <c r="N233" s="4" t="s">
        <v>623</v>
      </c>
      <c r="O233" s="4" t="s">
        <v>625</v>
      </c>
      <c r="P233" s="5">
        <v>0.18</v>
      </c>
      <c r="Q233" s="14">
        <f>PMT($Y$45/12,$Y$48,-$Y$44)</f>
        <v>24758.591741431355</v>
      </c>
      <c r="R233" s="4">
        <v>760000</v>
      </c>
      <c r="S233" s="2" t="s">
        <v>12</v>
      </c>
    </row>
    <row r="234" spans="1:19" x14ac:dyDescent="0.3">
      <c r="A234" s="4">
        <v>233</v>
      </c>
      <c r="B234" s="4" t="s">
        <v>253</v>
      </c>
      <c r="C234" s="4" t="s">
        <v>38</v>
      </c>
      <c r="D234" s="4" t="s">
        <v>12</v>
      </c>
      <c r="E234" s="4" t="s">
        <v>13</v>
      </c>
      <c r="F234" s="4" t="s">
        <v>12</v>
      </c>
      <c r="G234" s="4">
        <v>56980</v>
      </c>
      <c r="H234" s="4">
        <v>25600</v>
      </c>
      <c r="I234" s="13">
        <v>849300</v>
      </c>
      <c r="J234" s="4">
        <v>60</v>
      </c>
      <c r="K234" s="4">
        <v>1</v>
      </c>
      <c r="L234" s="4" t="s">
        <v>18</v>
      </c>
      <c r="M234" s="4" t="s">
        <v>15</v>
      </c>
      <c r="N234" s="4" t="s">
        <v>623</v>
      </c>
      <c r="O234" s="4" t="s">
        <v>625</v>
      </c>
      <c r="P234" s="5">
        <v>0.18</v>
      </c>
      <c r="Q234" s="14">
        <f>PMT($V$51/12,$V$54,-$V$50)</f>
        <v>21566.637913843744</v>
      </c>
      <c r="R234" s="4">
        <v>900000</v>
      </c>
      <c r="S234" s="2" t="s">
        <v>17</v>
      </c>
    </row>
    <row r="235" spans="1:19" x14ac:dyDescent="0.3">
      <c r="A235" s="4">
        <v>234</v>
      </c>
      <c r="B235" s="4" t="s">
        <v>254</v>
      </c>
      <c r="C235" s="4" t="s">
        <v>11</v>
      </c>
      <c r="D235" s="4" t="s">
        <v>17</v>
      </c>
      <c r="E235" s="4" t="s">
        <v>13</v>
      </c>
      <c r="F235" s="4" t="s">
        <v>12</v>
      </c>
      <c r="G235" s="4">
        <v>49800</v>
      </c>
      <c r="H235" s="4">
        <v>0</v>
      </c>
      <c r="I235" s="13">
        <v>487500</v>
      </c>
      <c r="J235" s="4">
        <v>60</v>
      </c>
      <c r="K235" s="4">
        <v>1</v>
      </c>
      <c r="L235" s="4" t="s">
        <v>27</v>
      </c>
      <c r="M235" s="4" t="s">
        <v>15</v>
      </c>
      <c r="N235" s="4" t="s">
        <v>623</v>
      </c>
      <c r="O235" s="4" t="s">
        <v>625</v>
      </c>
      <c r="P235" s="5">
        <v>0.18</v>
      </c>
      <c r="Q235" s="14">
        <f>PMT($Y$51/12,$Y$54,-$Y$50)</f>
        <v>12379.295870715678</v>
      </c>
      <c r="R235" s="4">
        <v>460000</v>
      </c>
      <c r="S235" s="2" t="s">
        <v>12</v>
      </c>
    </row>
    <row r="236" spans="1:19" x14ac:dyDescent="0.3">
      <c r="A236" s="4">
        <v>235</v>
      </c>
      <c r="B236" s="4" t="s">
        <v>255</v>
      </c>
      <c r="C236" s="4" t="s">
        <v>11</v>
      </c>
      <c r="D236" s="4" t="s">
        <v>17</v>
      </c>
      <c r="E236" s="4" t="s">
        <v>13</v>
      </c>
      <c r="F236" s="4" t="s">
        <v>12</v>
      </c>
      <c r="G236" s="4">
        <v>58799</v>
      </c>
      <c r="H236" s="4">
        <v>26870</v>
      </c>
      <c r="I236" s="13">
        <v>875644</v>
      </c>
      <c r="J236" s="4">
        <v>60</v>
      </c>
      <c r="K236" s="4">
        <v>1</v>
      </c>
      <c r="L236" s="4" t="s">
        <v>18</v>
      </c>
      <c r="M236" s="4" t="s">
        <v>15</v>
      </c>
      <c r="N236" s="4" t="s">
        <v>623</v>
      </c>
      <c r="O236" s="4" t="s">
        <v>625</v>
      </c>
      <c r="P236" s="5">
        <v>0.18</v>
      </c>
      <c r="Q236" s="14">
        <f>PMT($V$57/12,$V$60,-$V$56)</f>
        <v>22235.602365983505</v>
      </c>
      <c r="R236" s="4">
        <v>540000</v>
      </c>
      <c r="S236" s="2" t="s">
        <v>12</v>
      </c>
    </row>
    <row r="237" spans="1:19" x14ac:dyDescent="0.3">
      <c r="A237" s="4">
        <v>236</v>
      </c>
      <c r="B237" s="4" t="s">
        <v>256</v>
      </c>
      <c r="C237" s="4" t="s">
        <v>11</v>
      </c>
      <c r="D237" s="4" t="s">
        <v>17</v>
      </c>
      <c r="E237" s="4" t="s">
        <v>22</v>
      </c>
      <c r="F237" s="4" t="s">
        <v>12</v>
      </c>
      <c r="G237" s="4">
        <v>48799</v>
      </c>
      <c r="H237" s="4">
        <v>34690</v>
      </c>
      <c r="I237" s="13">
        <v>654420</v>
      </c>
      <c r="J237" s="4">
        <v>60</v>
      </c>
      <c r="K237" s="4">
        <v>1</v>
      </c>
      <c r="L237" s="4" t="s">
        <v>14</v>
      </c>
      <c r="M237" s="4" t="s">
        <v>19</v>
      </c>
      <c r="N237" s="4" t="s">
        <v>623</v>
      </c>
      <c r="O237" s="4" t="s">
        <v>625</v>
      </c>
      <c r="P237" s="5">
        <v>0.18</v>
      </c>
      <c r="Q237" s="14">
        <f>PMT($Y$57/12,$Y$60,-$Y$56)</f>
        <v>16617.966776848727</v>
      </c>
      <c r="R237" s="4">
        <v>560000</v>
      </c>
      <c r="S237" s="2" t="s">
        <v>17</v>
      </c>
    </row>
    <row r="238" spans="1:19" x14ac:dyDescent="0.3">
      <c r="A238" s="4">
        <v>237</v>
      </c>
      <c r="B238" s="4" t="s">
        <v>257</v>
      </c>
      <c r="C238" s="4" t="s">
        <v>11</v>
      </c>
      <c r="D238" s="4" t="s">
        <v>12</v>
      </c>
      <c r="E238" s="4" t="s">
        <v>13</v>
      </c>
      <c r="F238" s="4" t="s">
        <v>12</v>
      </c>
      <c r="G238" s="4">
        <v>35000</v>
      </c>
      <c r="H238" s="4">
        <v>48700</v>
      </c>
      <c r="I238" s="13">
        <v>800000</v>
      </c>
      <c r="J238" s="4">
        <v>60</v>
      </c>
      <c r="K238" s="4">
        <v>1</v>
      </c>
      <c r="L238" s="4" t="s">
        <v>14</v>
      </c>
      <c r="M238" s="4" t="s">
        <v>15</v>
      </c>
      <c r="N238" s="4" t="s">
        <v>623</v>
      </c>
      <c r="O238" s="4" t="s">
        <v>625</v>
      </c>
      <c r="P238" s="5">
        <v>0.18</v>
      </c>
      <c r="Q238" s="14">
        <f>PMT($V$33/12,$V$36,-$V$32)</f>
        <v>20314.741941687265</v>
      </c>
      <c r="R238" s="4">
        <v>520000</v>
      </c>
      <c r="S238" s="2" t="s">
        <v>12</v>
      </c>
    </row>
    <row r="239" spans="1:19" x14ac:dyDescent="0.3">
      <c r="A239" s="4">
        <v>238</v>
      </c>
      <c r="B239" s="4" t="s">
        <v>258</v>
      </c>
      <c r="C239" s="4" t="s">
        <v>11</v>
      </c>
      <c r="D239" s="4" t="s">
        <v>17</v>
      </c>
      <c r="E239" s="4" t="s">
        <v>13</v>
      </c>
      <c r="F239" s="4" t="s">
        <v>17</v>
      </c>
      <c r="G239" s="4">
        <v>35000</v>
      </c>
      <c r="H239" s="4">
        <v>0</v>
      </c>
      <c r="I239" s="13">
        <v>620000</v>
      </c>
      <c r="J239" s="4">
        <v>60</v>
      </c>
      <c r="K239" s="4">
        <v>1</v>
      </c>
      <c r="L239" s="4" t="s">
        <v>18</v>
      </c>
      <c r="M239" s="4" t="s">
        <v>15</v>
      </c>
      <c r="N239" s="4" t="s">
        <v>623</v>
      </c>
      <c r="O239" s="4" t="s">
        <v>625</v>
      </c>
      <c r="P239" s="5">
        <v>0.18</v>
      </c>
      <c r="Q239" s="14">
        <f>PMT($AB$15/12,$AB$18,-$AB$14)</f>
        <v>15743.925004807632</v>
      </c>
      <c r="R239" s="4">
        <v>320000</v>
      </c>
      <c r="S239" s="2" t="s">
        <v>12</v>
      </c>
    </row>
    <row r="240" spans="1:19" x14ac:dyDescent="0.3">
      <c r="A240" s="4">
        <v>239</v>
      </c>
      <c r="B240" s="4" t="s">
        <v>259</v>
      </c>
      <c r="C240" s="4" t="s">
        <v>11</v>
      </c>
      <c r="D240" s="4" t="s">
        <v>17</v>
      </c>
      <c r="E240" s="4" t="s">
        <v>22</v>
      </c>
      <c r="F240" s="4" t="s">
        <v>12</v>
      </c>
      <c r="G240" s="4">
        <v>21654</v>
      </c>
      <c r="H240" s="4">
        <v>14620</v>
      </c>
      <c r="I240" s="13">
        <v>489300</v>
      </c>
      <c r="J240" s="4">
        <v>60</v>
      </c>
      <c r="K240" s="4">
        <v>1</v>
      </c>
      <c r="L240" s="4" t="s">
        <v>27</v>
      </c>
      <c r="M240" s="4" t="s">
        <v>15</v>
      </c>
      <c r="N240" s="4" t="s">
        <v>623</v>
      </c>
      <c r="O240" s="4" t="s">
        <v>625</v>
      </c>
      <c r="P240" s="5">
        <v>0.18</v>
      </c>
      <c r="Q240" s="14">
        <f>PMT($AB$57/12,$AB$60,-$AB$56)</f>
        <v>12425.004040084474</v>
      </c>
      <c r="R240" s="4">
        <v>150000</v>
      </c>
      <c r="S240" s="2" t="s">
        <v>17</v>
      </c>
    </row>
    <row r="241" spans="1:19" x14ac:dyDescent="0.3">
      <c r="A241" s="4">
        <v>240</v>
      </c>
      <c r="B241" s="4" t="s">
        <v>260</v>
      </c>
      <c r="C241" s="4" t="s">
        <v>11</v>
      </c>
      <c r="D241" s="4" t="s">
        <v>12</v>
      </c>
      <c r="E241" s="4" t="s">
        <v>13</v>
      </c>
      <c r="F241" s="4" t="s">
        <v>17</v>
      </c>
      <c r="G241" s="4">
        <v>25000</v>
      </c>
      <c r="H241" s="4">
        <v>0</v>
      </c>
      <c r="I241" s="13">
        <v>500000</v>
      </c>
      <c r="J241" s="4">
        <v>60</v>
      </c>
      <c r="K241" s="4">
        <v>1</v>
      </c>
      <c r="L241" s="4" t="s">
        <v>14</v>
      </c>
      <c r="M241" s="4" t="s">
        <v>19</v>
      </c>
      <c r="N241" s="4" t="s">
        <v>623</v>
      </c>
      <c r="O241" s="4" t="s">
        <v>625</v>
      </c>
      <c r="P241" s="5">
        <v>0.18</v>
      </c>
      <c r="Q241" s="14">
        <f>PMT($V$15/12,$V$18,-$V$14)</f>
        <v>12696.713713554542</v>
      </c>
      <c r="R241" s="4" t="s">
        <v>635</v>
      </c>
      <c r="S241" s="2" t="s">
        <v>12</v>
      </c>
    </row>
    <row r="242" spans="1:19" x14ac:dyDescent="0.3">
      <c r="A242" s="4">
        <v>241</v>
      </c>
      <c r="B242" s="4" t="s">
        <v>261</v>
      </c>
      <c r="C242" s="4" t="s">
        <v>11</v>
      </c>
      <c r="D242" s="4" t="s">
        <v>17</v>
      </c>
      <c r="E242" s="4" t="s">
        <v>13</v>
      </c>
      <c r="F242" s="4" t="s">
        <v>12</v>
      </c>
      <c r="G242" s="4">
        <v>35700</v>
      </c>
      <c r="H242" s="4">
        <v>0</v>
      </c>
      <c r="I242" s="13">
        <v>478000</v>
      </c>
      <c r="J242" s="4">
        <v>60</v>
      </c>
      <c r="K242" s="4">
        <v>1</v>
      </c>
      <c r="L242" s="4" t="s">
        <v>14</v>
      </c>
      <c r="M242" s="4" t="s">
        <v>15</v>
      </c>
      <c r="N242" s="4" t="s">
        <v>623</v>
      </c>
      <c r="O242" s="4" t="s">
        <v>625</v>
      </c>
      <c r="P242" s="5">
        <v>0.18</v>
      </c>
      <c r="Q242" s="14">
        <f>PMT($V$63/12,$V$66,-$V$62)</f>
        <v>12138.058310158141</v>
      </c>
      <c r="R242" s="4">
        <v>151000</v>
      </c>
      <c r="S242" s="2" t="s">
        <v>12</v>
      </c>
    </row>
    <row r="243" spans="1:19" x14ac:dyDescent="0.3">
      <c r="A243" s="4">
        <v>242</v>
      </c>
      <c r="B243" s="4" t="s">
        <v>262</v>
      </c>
      <c r="C243" s="4" t="s">
        <v>11</v>
      </c>
      <c r="D243" s="4" t="s">
        <v>17</v>
      </c>
      <c r="E243" s="4" t="s">
        <v>22</v>
      </c>
      <c r="F243" s="4" t="s">
        <v>12</v>
      </c>
      <c r="G243" s="4">
        <v>48550</v>
      </c>
      <c r="H243" s="4">
        <v>54800</v>
      </c>
      <c r="I243" s="13">
        <v>748890</v>
      </c>
      <c r="J243" s="4">
        <v>60</v>
      </c>
      <c r="K243" s="4">
        <v>1</v>
      </c>
      <c r="L243" s="4" t="s">
        <v>14</v>
      </c>
      <c r="M243" s="4" t="s">
        <v>15</v>
      </c>
      <c r="N243" s="4" t="s">
        <v>623</v>
      </c>
      <c r="O243" s="4" t="s">
        <v>625</v>
      </c>
      <c r="P243" s="5">
        <v>0.18</v>
      </c>
      <c r="Q243" s="14">
        <f>PMT($Y$63/12,$Y$66,-$Y$62)</f>
        <v>19016.883865887721</v>
      </c>
      <c r="R243" s="4">
        <v>980000</v>
      </c>
      <c r="S243" s="2" t="s">
        <v>12</v>
      </c>
    </row>
    <row r="244" spans="1:19" x14ac:dyDescent="0.3">
      <c r="A244" s="4">
        <v>243</v>
      </c>
      <c r="B244" s="4" t="s">
        <v>263</v>
      </c>
      <c r="C244" s="4" t="s">
        <v>11</v>
      </c>
      <c r="D244" s="4" t="s">
        <v>17</v>
      </c>
      <c r="E244" s="4" t="s">
        <v>13</v>
      </c>
      <c r="F244" s="4" t="s">
        <v>12</v>
      </c>
      <c r="G244" s="4">
        <v>150000</v>
      </c>
      <c r="H244" s="4">
        <v>0</v>
      </c>
      <c r="I244" s="13">
        <v>1500000</v>
      </c>
      <c r="J244" s="4">
        <v>60</v>
      </c>
      <c r="K244" s="4">
        <v>1</v>
      </c>
      <c r="L244" s="4" t="s">
        <v>27</v>
      </c>
      <c r="M244" s="4" t="s">
        <v>15</v>
      </c>
      <c r="N244" s="4" t="s">
        <v>623</v>
      </c>
      <c r="O244" s="4" t="s">
        <v>625</v>
      </c>
      <c r="P244" s="5">
        <v>0.18</v>
      </c>
      <c r="Q244" s="14">
        <f>PMT($V$9/12,$V$12,-$V$8)</f>
        <v>38090.141140663625</v>
      </c>
      <c r="R244" s="4">
        <v>980000</v>
      </c>
      <c r="S244" s="2" t="s">
        <v>12</v>
      </c>
    </row>
    <row r="245" spans="1:19" x14ac:dyDescent="0.3">
      <c r="A245" s="4">
        <v>244</v>
      </c>
      <c r="B245" s="4" t="s">
        <v>264</v>
      </c>
      <c r="C245" s="4" t="s">
        <v>11</v>
      </c>
      <c r="D245" s="4" t="s">
        <v>17</v>
      </c>
      <c r="E245" s="4" t="s">
        <v>13</v>
      </c>
      <c r="F245" s="4" t="s">
        <v>12</v>
      </c>
      <c r="G245" s="4">
        <v>50000</v>
      </c>
      <c r="H245" s="4">
        <v>0</v>
      </c>
      <c r="I245" s="13">
        <v>1000000</v>
      </c>
      <c r="J245" s="4">
        <v>60</v>
      </c>
      <c r="K245" s="4">
        <v>1</v>
      </c>
      <c r="L245" s="4" t="s">
        <v>14</v>
      </c>
      <c r="M245" s="4" t="s">
        <v>15</v>
      </c>
      <c r="N245" s="4" t="s">
        <v>623</v>
      </c>
      <c r="O245" s="4" t="s">
        <v>625</v>
      </c>
      <c r="P245" s="5">
        <v>0.18</v>
      </c>
      <c r="Q245" s="14">
        <f>PMT($V$3/12,$V$6,-$V$2)</f>
        <v>25393.427427109084</v>
      </c>
      <c r="R245" s="4">
        <v>450000</v>
      </c>
      <c r="S245" s="2" t="s">
        <v>12</v>
      </c>
    </row>
    <row r="246" spans="1:19" x14ac:dyDescent="0.3">
      <c r="A246" s="4">
        <v>245</v>
      </c>
      <c r="B246" s="4" t="s">
        <v>265</v>
      </c>
      <c r="C246" s="4" t="s">
        <v>11</v>
      </c>
      <c r="D246" s="4" t="s">
        <v>17</v>
      </c>
      <c r="E246" s="4" t="s">
        <v>22</v>
      </c>
      <c r="F246" s="4" t="s">
        <v>12</v>
      </c>
      <c r="G246" s="4">
        <v>100000</v>
      </c>
      <c r="H246" s="4">
        <v>35000</v>
      </c>
      <c r="I246" s="13">
        <v>1500000</v>
      </c>
      <c r="J246" s="4">
        <v>60</v>
      </c>
      <c r="K246" s="4">
        <v>0</v>
      </c>
      <c r="L246" s="4" t="s">
        <v>27</v>
      </c>
      <c r="M246" s="4" t="s">
        <v>19</v>
      </c>
      <c r="N246" s="4" t="s">
        <v>623</v>
      </c>
      <c r="O246" s="4" t="s">
        <v>625</v>
      </c>
      <c r="P246" s="5">
        <v>0.18</v>
      </c>
      <c r="Q246" s="14">
        <f t="shared" ref="Q246:Q247" si="20">PMT($V$9/12,$V$12,-$V$8)</f>
        <v>38090.141140663625</v>
      </c>
      <c r="R246" s="4">
        <v>1000000</v>
      </c>
      <c r="S246" s="2" t="s">
        <v>12</v>
      </c>
    </row>
    <row r="247" spans="1:19" x14ac:dyDescent="0.3">
      <c r="A247" s="4">
        <v>246</v>
      </c>
      <c r="B247" s="4" t="s">
        <v>266</v>
      </c>
      <c r="C247" s="4" t="s">
        <v>38</v>
      </c>
      <c r="D247" s="4" t="s">
        <v>12</v>
      </c>
      <c r="E247" s="4" t="s">
        <v>13</v>
      </c>
      <c r="F247" s="4" t="s">
        <v>12</v>
      </c>
      <c r="G247" s="4">
        <v>80000</v>
      </c>
      <c r="H247" s="4">
        <v>0</v>
      </c>
      <c r="I247" s="13">
        <v>1500000</v>
      </c>
      <c r="J247" s="4">
        <v>60</v>
      </c>
      <c r="K247" s="4">
        <v>1</v>
      </c>
      <c r="L247" s="4" t="s">
        <v>14</v>
      </c>
      <c r="M247" s="4" t="s">
        <v>19</v>
      </c>
      <c r="N247" s="4" t="s">
        <v>623</v>
      </c>
      <c r="O247" s="4" t="s">
        <v>625</v>
      </c>
      <c r="P247" s="5">
        <v>0.18</v>
      </c>
      <c r="Q247" s="14">
        <f t="shared" si="20"/>
        <v>38090.141140663625</v>
      </c>
      <c r="R247" s="4">
        <v>520000</v>
      </c>
      <c r="S247" s="2" t="s">
        <v>12</v>
      </c>
    </row>
    <row r="248" spans="1:19" x14ac:dyDescent="0.3">
      <c r="A248" s="4">
        <v>247</v>
      </c>
      <c r="B248" s="4" t="s">
        <v>267</v>
      </c>
      <c r="C248" s="4" t="s">
        <v>11</v>
      </c>
      <c r="D248" s="4" t="s">
        <v>12</v>
      </c>
      <c r="E248" s="4" t="s">
        <v>22</v>
      </c>
      <c r="F248" s="4" t="s">
        <v>17</v>
      </c>
      <c r="G248" s="4">
        <v>50000</v>
      </c>
      <c r="H248" s="4">
        <v>0</v>
      </c>
      <c r="I248" s="13">
        <v>500000</v>
      </c>
      <c r="J248" s="4">
        <v>60</v>
      </c>
      <c r="K248" s="4">
        <v>1</v>
      </c>
      <c r="L248" s="4" t="s">
        <v>18</v>
      </c>
      <c r="M248" s="4" t="s">
        <v>15</v>
      </c>
      <c r="N248" s="4" t="s">
        <v>623</v>
      </c>
      <c r="O248" s="4" t="s">
        <v>625</v>
      </c>
      <c r="P248" s="5">
        <v>0.18</v>
      </c>
      <c r="Q248" s="14">
        <f>PMT($V$15/12,$V$18,-$V$14)</f>
        <v>12696.713713554542</v>
      </c>
      <c r="R248" s="4">
        <v>410000</v>
      </c>
      <c r="S248" s="2" t="s">
        <v>12</v>
      </c>
    </row>
    <row r="249" spans="1:19" x14ac:dyDescent="0.3">
      <c r="A249" s="4">
        <v>248</v>
      </c>
      <c r="B249" s="4" t="s">
        <v>268</v>
      </c>
      <c r="C249" s="4" t="s">
        <v>11</v>
      </c>
      <c r="D249" s="4" t="s">
        <v>17</v>
      </c>
      <c r="E249" s="4" t="s">
        <v>22</v>
      </c>
      <c r="F249" s="4" t="s">
        <v>12</v>
      </c>
      <c r="G249" s="4">
        <v>200000</v>
      </c>
      <c r="H249" s="4">
        <v>50000</v>
      </c>
      <c r="I249" s="13">
        <v>3000000</v>
      </c>
      <c r="J249" s="4">
        <v>60</v>
      </c>
      <c r="K249" s="4">
        <v>1</v>
      </c>
      <c r="L249" s="4" t="s">
        <v>27</v>
      </c>
      <c r="M249" s="4" t="s">
        <v>15</v>
      </c>
      <c r="N249" s="4" t="s">
        <v>623</v>
      </c>
      <c r="O249" s="4" t="s">
        <v>625</v>
      </c>
      <c r="P249" s="5">
        <v>0.18</v>
      </c>
      <c r="Q249" s="14">
        <f>PMT($Y$81/12,$Y$84,-$Y$80)</f>
        <v>76180.282281327251</v>
      </c>
      <c r="R249" s="4">
        <v>1500000</v>
      </c>
      <c r="S249" s="2" t="s">
        <v>17</v>
      </c>
    </row>
    <row r="250" spans="1:19" x14ac:dyDescent="0.3">
      <c r="A250" s="4">
        <v>249</v>
      </c>
      <c r="B250" s="4" t="s">
        <v>269</v>
      </c>
      <c r="C250" s="4" t="s">
        <v>11</v>
      </c>
      <c r="D250" s="4" t="s">
        <v>12</v>
      </c>
      <c r="E250" s="4" t="s">
        <v>13</v>
      </c>
      <c r="F250" s="4" t="s">
        <v>17</v>
      </c>
      <c r="G250" s="4">
        <v>75000</v>
      </c>
      <c r="H250" s="4">
        <v>25000</v>
      </c>
      <c r="I250" s="13">
        <v>1000000</v>
      </c>
      <c r="J250" s="4">
        <v>60</v>
      </c>
      <c r="K250" s="4">
        <v>0</v>
      </c>
      <c r="L250" s="4" t="s">
        <v>14</v>
      </c>
      <c r="M250" s="4" t="s">
        <v>19</v>
      </c>
      <c r="N250" s="4" t="s">
        <v>623</v>
      </c>
      <c r="O250" s="4" t="s">
        <v>625</v>
      </c>
      <c r="P250" s="5">
        <v>0.18</v>
      </c>
      <c r="Q250" s="14">
        <f>PMT($V$3/12,$V$6,-$V$2)</f>
        <v>25393.427427109084</v>
      </c>
      <c r="R250" s="4">
        <v>900000</v>
      </c>
      <c r="S250" s="2" t="s">
        <v>17</v>
      </c>
    </row>
    <row r="251" spans="1:19" x14ac:dyDescent="0.3">
      <c r="A251" s="4">
        <v>250</v>
      </c>
      <c r="B251" s="4" t="s">
        <v>270</v>
      </c>
      <c r="C251" s="4" t="s">
        <v>38</v>
      </c>
      <c r="D251" s="4" t="s">
        <v>12</v>
      </c>
      <c r="E251" s="4" t="s">
        <v>13</v>
      </c>
      <c r="F251" s="4" t="s">
        <v>12</v>
      </c>
      <c r="G251" s="4">
        <v>50000</v>
      </c>
      <c r="H251" s="4">
        <v>35000</v>
      </c>
      <c r="I251" s="13">
        <v>1500000</v>
      </c>
      <c r="J251" s="4">
        <v>60</v>
      </c>
      <c r="K251" s="4">
        <v>1</v>
      </c>
      <c r="L251" s="4" t="s">
        <v>18</v>
      </c>
      <c r="M251" s="4" t="s">
        <v>15</v>
      </c>
      <c r="N251" s="4" t="s">
        <v>623</v>
      </c>
      <c r="O251" s="4" t="s">
        <v>625</v>
      </c>
      <c r="P251" s="5">
        <v>0.18</v>
      </c>
      <c r="Q251" s="14">
        <f>PMT($V$9/12,$V$12,-$V$8)</f>
        <v>38090.141140663625</v>
      </c>
      <c r="R251" s="4">
        <v>860000</v>
      </c>
      <c r="S251" s="2" t="s">
        <v>12</v>
      </c>
    </row>
    <row r="252" spans="1:19" x14ac:dyDescent="0.3">
      <c r="A252" s="4">
        <v>251</v>
      </c>
      <c r="B252" s="4" t="s">
        <v>271</v>
      </c>
      <c r="C252" s="4" t="s">
        <v>11</v>
      </c>
      <c r="D252" s="4" t="s">
        <v>12</v>
      </c>
      <c r="E252" s="4" t="s">
        <v>22</v>
      </c>
      <c r="F252" s="4" t="s">
        <v>12</v>
      </c>
      <c r="G252" s="4">
        <v>85000</v>
      </c>
      <c r="H252" s="4">
        <v>0</v>
      </c>
      <c r="I252" s="13">
        <v>1000000</v>
      </c>
      <c r="J252" s="4">
        <v>60</v>
      </c>
      <c r="K252" s="4">
        <v>0</v>
      </c>
      <c r="L252" s="4" t="s">
        <v>18</v>
      </c>
      <c r="M252" s="4" t="s">
        <v>19</v>
      </c>
      <c r="N252" s="4" t="s">
        <v>623</v>
      </c>
      <c r="O252" s="4" t="s">
        <v>625</v>
      </c>
      <c r="P252" s="5">
        <v>0.18</v>
      </c>
      <c r="Q252" s="14">
        <f>PMT($V$3/12,$V$6,-$V$2)</f>
        <v>25393.427427109084</v>
      </c>
      <c r="R252" s="4">
        <v>740000</v>
      </c>
      <c r="S252" s="2" t="s">
        <v>12</v>
      </c>
    </row>
    <row r="253" spans="1:19" x14ac:dyDescent="0.3">
      <c r="A253" s="4">
        <v>252</v>
      </c>
      <c r="B253" s="4" t="s">
        <v>272</v>
      </c>
      <c r="C253" s="4" t="s">
        <v>11</v>
      </c>
      <c r="D253" s="4" t="s">
        <v>17</v>
      </c>
      <c r="E253" s="4" t="s">
        <v>13</v>
      </c>
      <c r="F253" s="4" t="s">
        <v>12</v>
      </c>
      <c r="G253" s="4">
        <v>50000</v>
      </c>
      <c r="H253" s="4">
        <v>30000</v>
      </c>
      <c r="I253" s="13">
        <v>2000000</v>
      </c>
      <c r="J253" s="4">
        <v>60</v>
      </c>
      <c r="K253" s="4">
        <v>1</v>
      </c>
      <c r="L253" s="4" t="s">
        <v>14</v>
      </c>
      <c r="M253" s="4" t="s">
        <v>19</v>
      </c>
      <c r="N253" s="4" t="s">
        <v>623</v>
      </c>
      <c r="O253" s="4" t="s">
        <v>625</v>
      </c>
      <c r="P253" s="5">
        <v>0.18</v>
      </c>
      <c r="Q253" s="14">
        <f>PMT($V$27/12,$V$30,-$V$26)</f>
        <v>50786.854854218167</v>
      </c>
      <c r="R253" s="4">
        <v>800000</v>
      </c>
      <c r="S253" s="2" t="s">
        <v>17</v>
      </c>
    </row>
    <row r="254" spans="1:19" x14ac:dyDescent="0.3">
      <c r="A254" s="4">
        <v>253</v>
      </c>
      <c r="B254" s="4" t="s">
        <v>273</v>
      </c>
      <c r="C254" s="4" t="s">
        <v>11</v>
      </c>
      <c r="D254" s="4" t="s">
        <v>17</v>
      </c>
      <c r="E254" s="4" t="s">
        <v>13</v>
      </c>
      <c r="F254" s="4" t="s">
        <v>12</v>
      </c>
      <c r="G254" s="4">
        <v>65000</v>
      </c>
      <c r="H254" s="4">
        <v>20000</v>
      </c>
      <c r="I254" s="13">
        <v>800000</v>
      </c>
      <c r="J254" s="4">
        <v>60</v>
      </c>
      <c r="K254" s="4">
        <v>1</v>
      </c>
      <c r="L254" s="4" t="s">
        <v>18</v>
      </c>
      <c r="M254" s="4" t="s">
        <v>19</v>
      </c>
      <c r="N254" s="4" t="s">
        <v>623</v>
      </c>
      <c r="O254" s="4" t="s">
        <v>625</v>
      </c>
      <c r="P254" s="5">
        <v>0.18</v>
      </c>
      <c r="Q254" s="14">
        <f>PMT($V$33/12,$V$36,-$V$32)</f>
        <v>20314.741941687265</v>
      </c>
      <c r="R254" s="4">
        <v>800000</v>
      </c>
      <c r="S254" s="2" t="s">
        <v>17</v>
      </c>
    </row>
    <row r="255" spans="1:19" x14ac:dyDescent="0.3">
      <c r="A255" s="4">
        <v>254</v>
      </c>
      <c r="B255" s="4" t="s">
        <v>274</v>
      </c>
      <c r="C255" s="4" t="s">
        <v>11</v>
      </c>
      <c r="D255" s="4" t="s">
        <v>17</v>
      </c>
      <c r="E255" s="4" t="s">
        <v>22</v>
      </c>
      <c r="F255" s="4" t="s">
        <v>12</v>
      </c>
      <c r="G255" s="4">
        <v>55000</v>
      </c>
      <c r="H255" s="4">
        <v>25000</v>
      </c>
      <c r="I255" s="13">
        <v>1000000</v>
      </c>
      <c r="J255" s="4">
        <v>60</v>
      </c>
      <c r="K255" s="4">
        <v>0</v>
      </c>
      <c r="L255" s="4" t="s">
        <v>27</v>
      </c>
      <c r="M255" s="4" t="s">
        <v>19</v>
      </c>
      <c r="N255" s="4" t="s">
        <v>623</v>
      </c>
      <c r="O255" s="4" t="s">
        <v>625</v>
      </c>
      <c r="P255" s="5">
        <v>0.18</v>
      </c>
      <c r="Q255" s="14">
        <f t="shared" ref="Q255:Q256" si="21">PMT($V$3/12,$V$6,-$V$2)</f>
        <v>25393.427427109084</v>
      </c>
      <c r="R255" s="4">
        <v>420000</v>
      </c>
      <c r="S255" s="2" t="s">
        <v>12</v>
      </c>
    </row>
    <row r="256" spans="1:19" x14ac:dyDescent="0.3">
      <c r="A256" s="4">
        <v>255</v>
      </c>
      <c r="B256" s="4" t="s">
        <v>275</v>
      </c>
      <c r="C256" s="4" t="s">
        <v>11</v>
      </c>
      <c r="D256" s="4" t="s">
        <v>17</v>
      </c>
      <c r="E256" s="4" t="s">
        <v>13</v>
      </c>
      <c r="F256" s="4" t="s">
        <v>12</v>
      </c>
      <c r="G256" s="4">
        <v>50000</v>
      </c>
      <c r="H256" s="4">
        <v>0</v>
      </c>
      <c r="I256" s="13">
        <v>1000000</v>
      </c>
      <c r="J256" s="4">
        <v>60</v>
      </c>
      <c r="K256" s="4">
        <v>0</v>
      </c>
      <c r="L256" s="4" t="s">
        <v>14</v>
      </c>
      <c r="M256" s="4" t="s">
        <v>15</v>
      </c>
      <c r="N256" s="4" t="s">
        <v>623</v>
      </c>
      <c r="O256" s="4" t="s">
        <v>625</v>
      </c>
      <c r="P256" s="5">
        <v>0.18</v>
      </c>
      <c r="Q256" s="14">
        <f t="shared" si="21"/>
        <v>25393.427427109084</v>
      </c>
      <c r="R256" s="4">
        <v>400000</v>
      </c>
      <c r="S256" s="2" t="s">
        <v>12</v>
      </c>
    </row>
    <row r="257" spans="1:19" x14ac:dyDescent="0.3">
      <c r="A257" s="4">
        <v>256</v>
      </c>
      <c r="B257" s="4" t="s">
        <v>276</v>
      </c>
      <c r="C257" s="4" t="s">
        <v>11</v>
      </c>
      <c r="D257" s="4" t="s">
        <v>12</v>
      </c>
      <c r="E257" s="4" t="s">
        <v>13</v>
      </c>
      <c r="F257" s="4" t="s">
        <v>12</v>
      </c>
      <c r="G257" s="4">
        <v>100000</v>
      </c>
      <c r="H257" s="4">
        <v>35000</v>
      </c>
      <c r="I257" s="13">
        <v>1500000</v>
      </c>
      <c r="J257" s="4">
        <v>60</v>
      </c>
      <c r="K257" s="4">
        <v>1</v>
      </c>
      <c r="L257" s="4" t="s">
        <v>27</v>
      </c>
      <c r="M257" s="4" t="s">
        <v>15</v>
      </c>
      <c r="N257" s="4" t="s">
        <v>623</v>
      </c>
      <c r="O257" s="4" t="s">
        <v>625</v>
      </c>
      <c r="P257" s="5">
        <v>0.18</v>
      </c>
      <c r="Q257" s="14">
        <f>PMT($V$9/12,$V$12,-$V$8)</f>
        <v>38090.141140663625</v>
      </c>
      <c r="R257" s="4">
        <v>1000000</v>
      </c>
      <c r="S257" s="2" t="s">
        <v>12</v>
      </c>
    </row>
    <row r="258" spans="1:19" x14ac:dyDescent="0.3">
      <c r="A258" s="4">
        <v>257</v>
      </c>
      <c r="B258" s="4" t="s">
        <v>277</v>
      </c>
      <c r="C258" s="4" t="s">
        <v>38</v>
      </c>
      <c r="D258" s="4" t="s">
        <v>12</v>
      </c>
      <c r="E258" s="4" t="s">
        <v>13</v>
      </c>
      <c r="F258" s="4" t="s">
        <v>12</v>
      </c>
      <c r="G258" s="4">
        <v>25000</v>
      </c>
      <c r="H258" s="4">
        <v>10000</v>
      </c>
      <c r="I258" s="13">
        <v>500000</v>
      </c>
      <c r="J258" s="4">
        <v>60</v>
      </c>
      <c r="K258" s="4">
        <v>1</v>
      </c>
      <c r="L258" s="4" t="s">
        <v>27</v>
      </c>
      <c r="M258" s="4" t="s">
        <v>19</v>
      </c>
      <c r="N258" s="4" t="s">
        <v>623</v>
      </c>
      <c r="O258" s="4" t="s">
        <v>625</v>
      </c>
      <c r="P258" s="5">
        <v>0.18</v>
      </c>
      <c r="Q258" s="14">
        <f>PMT($V$15/12,$V$18,-$V$14)</f>
        <v>12696.713713554542</v>
      </c>
      <c r="R258" s="4">
        <v>150000</v>
      </c>
      <c r="S258" s="2" t="s">
        <v>12</v>
      </c>
    </row>
    <row r="259" spans="1:19" x14ac:dyDescent="0.3">
      <c r="A259" s="4">
        <v>258</v>
      </c>
      <c r="B259" s="4" t="s">
        <v>278</v>
      </c>
      <c r="C259" s="4" t="s">
        <v>38</v>
      </c>
      <c r="D259" s="4" t="s">
        <v>12</v>
      </c>
      <c r="E259" s="4" t="s">
        <v>13</v>
      </c>
      <c r="F259" s="4" t="s">
        <v>12</v>
      </c>
      <c r="G259" s="4">
        <v>100000</v>
      </c>
      <c r="H259" s="4">
        <v>35000</v>
      </c>
      <c r="I259" s="13">
        <v>1500000</v>
      </c>
      <c r="J259" s="4">
        <v>60</v>
      </c>
      <c r="K259" s="4">
        <v>1</v>
      </c>
      <c r="L259" s="4" t="s">
        <v>18</v>
      </c>
      <c r="M259" s="4" t="s">
        <v>15</v>
      </c>
      <c r="N259" s="4" t="s">
        <v>623</v>
      </c>
      <c r="O259" s="4" t="s">
        <v>625</v>
      </c>
      <c r="P259" s="5">
        <v>0.18</v>
      </c>
      <c r="Q259" s="14">
        <f t="shared" ref="Q259:Q260" si="22">PMT($V$9/12,$V$12,-$V$8)</f>
        <v>38090.141140663625</v>
      </c>
      <c r="R259" s="4">
        <v>1000000</v>
      </c>
      <c r="S259" s="2" t="s">
        <v>12</v>
      </c>
    </row>
    <row r="260" spans="1:19" x14ac:dyDescent="0.3">
      <c r="A260" s="4">
        <v>259</v>
      </c>
      <c r="B260" s="4" t="s">
        <v>279</v>
      </c>
      <c r="C260" s="4" t="s">
        <v>11</v>
      </c>
      <c r="D260" s="4" t="s">
        <v>12</v>
      </c>
      <c r="E260" s="4" t="s">
        <v>13</v>
      </c>
      <c r="F260" s="4" t="s">
        <v>17</v>
      </c>
      <c r="G260" s="4">
        <v>80000</v>
      </c>
      <c r="H260" s="4">
        <v>0</v>
      </c>
      <c r="I260" s="13">
        <v>1500000</v>
      </c>
      <c r="J260" s="4">
        <v>60</v>
      </c>
      <c r="K260" s="4">
        <v>1</v>
      </c>
      <c r="L260" s="4" t="s">
        <v>27</v>
      </c>
      <c r="M260" s="4" t="s">
        <v>15</v>
      </c>
      <c r="N260" s="4" t="s">
        <v>623</v>
      </c>
      <c r="O260" s="4" t="s">
        <v>625</v>
      </c>
      <c r="P260" s="5">
        <v>0.18</v>
      </c>
      <c r="Q260" s="14">
        <f t="shared" si="22"/>
        <v>38090.141140663625</v>
      </c>
      <c r="R260" s="4">
        <v>600000</v>
      </c>
      <c r="S260" s="2" t="s">
        <v>17</v>
      </c>
    </row>
    <row r="261" spans="1:19" x14ac:dyDescent="0.3">
      <c r="A261" s="4">
        <v>260</v>
      </c>
      <c r="B261" s="4" t="s">
        <v>280</v>
      </c>
      <c r="C261" s="4" t="s">
        <v>11</v>
      </c>
      <c r="D261" s="4" t="s">
        <v>12</v>
      </c>
      <c r="E261" s="4" t="s">
        <v>13</v>
      </c>
      <c r="F261" s="4" t="s">
        <v>12</v>
      </c>
      <c r="G261" s="4">
        <v>25000</v>
      </c>
      <c r="H261" s="4">
        <v>10000</v>
      </c>
      <c r="I261" s="13">
        <v>500000</v>
      </c>
      <c r="J261" s="4">
        <v>60</v>
      </c>
      <c r="K261" s="4">
        <v>1</v>
      </c>
      <c r="L261" s="4" t="s">
        <v>18</v>
      </c>
      <c r="M261" s="4" t="s">
        <v>15</v>
      </c>
      <c r="N261" s="4" t="s">
        <v>623</v>
      </c>
      <c r="O261" s="4" t="s">
        <v>625</v>
      </c>
      <c r="P261" s="5">
        <v>0.18</v>
      </c>
      <c r="Q261" s="14">
        <f t="shared" ref="Q261:Q262" si="23">PMT($V$15/12,$V$18,-$V$14)</f>
        <v>12696.713713554542</v>
      </c>
      <c r="R261" s="4">
        <v>150000</v>
      </c>
      <c r="S261" s="2" t="s">
        <v>12</v>
      </c>
    </row>
    <row r="262" spans="1:19" x14ac:dyDescent="0.3">
      <c r="A262" s="4">
        <v>261</v>
      </c>
      <c r="B262" s="4" t="s">
        <v>281</v>
      </c>
      <c r="C262" s="4" t="s">
        <v>11</v>
      </c>
      <c r="D262" s="4" t="s">
        <v>17</v>
      </c>
      <c r="E262" s="4" t="s">
        <v>13</v>
      </c>
      <c r="F262" s="4" t="s">
        <v>12</v>
      </c>
      <c r="G262" s="4">
        <v>50000</v>
      </c>
      <c r="H262" s="4">
        <v>0</v>
      </c>
      <c r="I262" s="13">
        <v>500000</v>
      </c>
      <c r="J262" s="4">
        <v>60</v>
      </c>
      <c r="K262" s="4">
        <v>1</v>
      </c>
      <c r="L262" s="4" t="s">
        <v>27</v>
      </c>
      <c r="M262" s="4" t="s">
        <v>15</v>
      </c>
      <c r="N262" s="4" t="s">
        <v>623</v>
      </c>
      <c r="O262" s="4" t="s">
        <v>625</v>
      </c>
      <c r="P262" s="5">
        <v>0.18</v>
      </c>
      <c r="Q262" s="14">
        <f t="shared" si="23"/>
        <v>12696.713713554542</v>
      </c>
      <c r="R262" s="4">
        <v>400000</v>
      </c>
      <c r="S262" s="2" t="s">
        <v>17</v>
      </c>
    </row>
    <row r="263" spans="1:19" x14ac:dyDescent="0.3">
      <c r="A263" s="4">
        <v>262</v>
      </c>
      <c r="B263" s="4" t="s">
        <v>282</v>
      </c>
      <c r="C263" s="4" t="s">
        <v>11</v>
      </c>
      <c r="D263" s="4" t="s">
        <v>17</v>
      </c>
      <c r="E263" s="4" t="s">
        <v>13</v>
      </c>
      <c r="F263" s="4" t="s">
        <v>12</v>
      </c>
      <c r="G263" s="4">
        <v>200000</v>
      </c>
      <c r="H263" s="4">
        <v>50000</v>
      </c>
      <c r="I263" s="13">
        <v>3000000</v>
      </c>
      <c r="J263" s="4">
        <v>60</v>
      </c>
      <c r="K263" s="4">
        <v>0</v>
      </c>
      <c r="L263" s="4" t="s">
        <v>14</v>
      </c>
      <c r="M263" s="4" t="s">
        <v>15</v>
      </c>
      <c r="N263" s="4" t="s">
        <v>623</v>
      </c>
      <c r="O263" s="4" t="s">
        <v>625</v>
      </c>
      <c r="P263" s="5">
        <v>0.18</v>
      </c>
      <c r="Q263" s="14">
        <f>PMT($Y$81/12,$Y$84,-$Y$80)</f>
        <v>76180.282281327251</v>
      </c>
      <c r="R263" s="4">
        <v>1500000</v>
      </c>
      <c r="S263" s="2" t="s">
        <v>17</v>
      </c>
    </row>
    <row r="264" spans="1:19" x14ac:dyDescent="0.3">
      <c r="A264" s="4">
        <v>263</v>
      </c>
      <c r="B264" s="4" t="s">
        <v>283</v>
      </c>
      <c r="C264" s="4" t="s">
        <v>38</v>
      </c>
      <c r="D264" s="4" t="s">
        <v>12</v>
      </c>
      <c r="E264" s="4" t="s">
        <v>13</v>
      </c>
      <c r="F264" s="4" t="s">
        <v>17</v>
      </c>
      <c r="G264" s="4">
        <v>30000</v>
      </c>
      <c r="H264" s="4">
        <v>10000</v>
      </c>
      <c r="I264" s="13">
        <v>1000000</v>
      </c>
      <c r="J264" s="4">
        <v>60</v>
      </c>
      <c r="K264" s="4">
        <v>1</v>
      </c>
      <c r="L264" s="4" t="s">
        <v>18</v>
      </c>
      <c r="M264" s="4" t="s">
        <v>19</v>
      </c>
      <c r="N264" s="4" t="s">
        <v>623</v>
      </c>
      <c r="O264" s="4" t="s">
        <v>625</v>
      </c>
      <c r="P264" s="5">
        <v>0.18</v>
      </c>
      <c r="Q264" s="14">
        <f t="shared" ref="Q264:Q265" si="24">PMT($V$3/12,$V$6,-$V$2)</f>
        <v>25393.427427109084</v>
      </c>
      <c r="R264" s="4">
        <v>525000</v>
      </c>
      <c r="S264" s="2" t="s">
        <v>12</v>
      </c>
    </row>
    <row r="265" spans="1:19" x14ac:dyDescent="0.3">
      <c r="A265" s="4">
        <v>264</v>
      </c>
      <c r="B265" s="4" t="s">
        <v>284</v>
      </c>
      <c r="C265" s="4" t="s">
        <v>38</v>
      </c>
      <c r="D265" s="4" t="s">
        <v>12</v>
      </c>
      <c r="E265" s="4" t="s">
        <v>13</v>
      </c>
      <c r="F265" s="4" t="s">
        <v>12</v>
      </c>
      <c r="G265" s="4">
        <v>75000</v>
      </c>
      <c r="H265" s="4">
        <v>25000</v>
      </c>
      <c r="I265" s="13">
        <v>1000000</v>
      </c>
      <c r="J265" s="4">
        <v>60</v>
      </c>
      <c r="K265" s="4">
        <v>1</v>
      </c>
      <c r="L265" s="4" t="s">
        <v>14</v>
      </c>
      <c r="M265" s="4" t="s">
        <v>15</v>
      </c>
      <c r="N265" s="4" t="s">
        <v>623</v>
      </c>
      <c r="O265" s="4" t="s">
        <v>625</v>
      </c>
      <c r="P265" s="5">
        <v>0.18</v>
      </c>
      <c r="Q265" s="14">
        <f t="shared" si="24"/>
        <v>25393.427427109084</v>
      </c>
      <c r="R265" s="4">
        <v>755000</v>
      </c>
      <c r="S265" s="2" t="s">
        <v>12</v>
      </c>
    </row>
    <row r="266" spans="1:19" x14ac:dyDescent="0.3">
      <c r="A266" s="4">
        <v>265</v>
      </c>
      <c r="B266" s="4" t="s">
        <v>285</v>
      </c>
      <c r="C266" s="4" t="s">
        <v>38</v>
      </c>
      <c r="D266" s="4" t="s">
        <v>12</v>
      </c>
      <c r="E266" s="4" t="s">
        <v>13</v>
      </c>
      <c r="F266" s="4" t="s">
        <v>12</v>
      </c>
      <c r="G266" s="4">
        <v>50000</v>
      </c>
      <c r="H266" s="4">
        <v>35000</v>
      </c>
      <c r="I266" s="13">
        <v>1500000</v>
      </c>
      <c r="J266" s="4">
        <v>60</v>
      </c>
      <c r="K266" s="4">
        <v>1</v>
      </c>
      <c r="L266" s="4" t="s">
        <v>14</v>
      </c>
      <c r="M266" s="4" t="s">
        <v>15</v>
      </c>
      <c r="N266" s="4" t="s">
        <v>623</v>
      </c>
      <c r="O266" s="4" t="s">
        <v>625</v>
      </c>
      <c r="P266" s="5">
        <v>0.18</v>
      </c>
      <c r="Q266" s="14">
        <f>PMT($V$9/12,$V$12,-$V$8)</f>
        <v>38090.141140663625</v>
      </c>
      <c r="R266" s="4">
        <v>660000</v>
      </c>
      <c r="S266" s="2" t="s">
        <v>12</v>
      </c>
    </row>
    <row r="267" spans="1:19" x14ac:dyDescent="0.3">
      <c r="A267" s="4">
        <v>266</v>
      </c>
      <c r="B267" s="4" t="s">
        <v>286</v>
      </c>
      <c r="C267" s="4" t="s">
        <v>11</v>
      </c>
      <c r="D267" s="4" t="s">
        <v>17</v>
      </c>
      <c r="E267" s="4" t="s">
        <v>13</v>
      </c>
      <c r="F267" s="4" t="s">
        <v>12</v>
      </c>
      <c r="G267" s="4">
        <v>85000</v>
      </c>
      <c r="H267" s="4">
        <v>0</v>
      </c>
      <c r="I267" s="13">
        <v>1000000</v>
      </c>
      <c r="J267" s="4">
        <v>60</v>
      </c>
      <c r="K267" s="4">
        <v>1</v>
      </c>
      <c r="L267" s="4" t="s">
        <v>14</v>
      </c>
      <c r="M267" s="4" t="s">
        <v>15</v>
      </c>
      <c r="N267" s="4" t="s">
        <v>623</v>
      </c>
      <c r="O267" s="4" t="s">
        <v>625</v>
      </c>
      <c r="P267" s="5">
        <v>0.18</v>
      </c>
      <c r="Q267" s="14">
        <f>PMT($V$3/12,$V$6,-$V$2)</f>
        <v>25393.427427109084</v>
      </c>
      <c r="R267" s="4">
        <v>680000</v>
      </c>
      <c r="S267" s="2" t="s">
        <v>12</v>
      </c>
    </row>
    <row r="268" spans="1:19" x14ac:dyDescent="0.3">
      <c r="A268" s="4">
        <v>267</v>
      </c>
      <c r="B268" s="4" t="s">
        <v>287</v>
      </c>
      <c r="C268" s="4" t="s">
        <v>11</v>
      </c>
      <c r="D268" s="4" t="s">
        <v>12</v>
      </c>
      <c r="E268" s="4" t="s">
        <v>13</v>
      </c>
      <c r="F268" s="4" t="s">
        <v>12</v>
      </c>
      <c r="G268" s="4">
        <v>50000</v>
      </c>
      <c r="H268" s="4">
        <v>30000</v>
      </c>
      <c r="I268" s="13">
        <v>2000000</v>
      </c>
      <c r="J268" s="4">
        <v>60</v>
      </c>
      <c r="K268" s="4">
        <v>1</v>
      </c>
      <c r="L268" s="4" t="s">
        <v>18</v>
      </c>
      <c r="M268" s="4" t="s">
        <v>15</v>
      </c>
      <c r="N268" s="4" t="s">
        <v>623</v>
      </c>
      <c r="O268" s="4" t="s">
        <v>625</v>
      </c>
      <c r="P268" s="5">
        <v>0.18</v>
      </c>
      <c r="Q268" s="14">
        <f>PMT($V$27/12,$V$30,-$V$26)</f>
        <v>50786.854854218167</v>
      </c>
      <c r="R268" s="4">
        <v>655000</v>
      </c>
      <c r="S268" s="2" t="s">
        <v>12</v>
      </c>
    </row>
    <row r="269" spans="1:19" x14ac:dyDescent="0.3">
      <c r="A269" s="4">
        <v>268</v>
      </c>
      <c r="B269" s="4" t="s">
        <v>288</v>
      </c>
      <c r="C269" s="4" t="s">
        <v>11</v>
      </c>
      <c r="D269" s="4" t="s">
        <v>17</v>
      </c>
      <c r="E269" s="4" t="s">
        <v>13</v>
      </c>
      <c r="F269" s="4" t="s">
        <v>12</v>
      </c>
      <c r="G269" s="4">
        <v>65000</v>
      </c>
      <c r="H269" s="4">
        <v>20000</v>
      </c>
      <c r="I269" s="13">
        <v>800000</v>
      </c>
      <c r="J269" s="4">
        <v>60</v>
      </c>
      <c r="K269" s="4">
        <v>1</v>
      </c>
      <c r="L269" s="4" t="s">
        <v>27</v>
      </c>
      <c r="M269" s="4" t="s">
        <v>15</v>
      </c>
      <c r="N269" s="4" t="s">
        <v>623</v>
      </c>
      <c r="O269" s="4" t="s">
        <v>625</v>
      </c>
      <c r="P269" s="5">
        <v>0.18</v>
      </c>
      <c r="Q269" s="14">
        <f>PMT($V$33/12,$V$36,-$V$32)</f>
        <v>20314.741941687265</v>
      </c>
      <c r="R269" s="4">
        <v>685000</v>
      </c>
      <c r="S269" s="2" t="s">
        <v>12</v>
      </c>
    </row>
    <row r="270" spans="1:19" x14ac:dyDescent="0.3">
      <c r="A270" s="4">
        <v>269</v>
      </c>
      <c r="B270" s="4" t="s">
        <v>289</v>
      </c>
      <c r="C270" s="4" t="s">
        <v>11</v>
      </c>
      <c r="D270" s="4" t="s">
        <v>17</v>
      </c>
      <c r="E270" s="4" t="s">
        <v>13</v>
      </c>
      <c r="F270" s="4" t="s">
        <v>12</v>
      </c>
      <c r="G270" s="4">
        <v>55000</v>
      </c>
      <c r="H270" s="4">
        <v>25000</v>
      </c>
      <c r="I270" s="13">
        <v>1000000</v>
      </c>
      <c r="J270" s="4">
        <v>60</v>
      </c>
      <c r="K270" s="4">
        <v>1</v>
      </c>
      <c r="L270" s="4" t="s">
        <v>27</v>
      </c>
      <c r="M270" s="4" t="s">
        <v>15</v>
      </c>
      <c r="N270" s="4" t="s">
        <v>623</v>
      </c>
      <c r="O270" s="4" t="s">
        <v>625</v>
      </c>
      <c r="P270" s="5">
        <v>0.18</v>
      </c>
      <c r="Q270" s="14">
        <f>PMT($V$3/12,$V$6,-$V$2)</f>
        <v>25393.427427109084</v>
      </c>
      <c r="R270" s="4">
        <v>556000</v>
      </c>
      <c r="S270" s="2" t="s">
        <v>17</v>
      </c>
    </row>
    <row r="271" spans="1:19" x14ac:dyDescent="0.3">
      <c r="A271" s="4">
        <v>270</v>
      </c>
      <c r="B271" s="4" t="s">
        <v>290</v>
      </c>
      <c r="C271" s="4" t="s">
        <v>11</v>
      </c>
      <c r="D271" s="4" t="s">
        <v>17</v>
      </c>
      <c r="E271" s="4" t="s">
        <v>13</v>
      </c>
      <c r="F271" s="4" t="s">
        <v>12</v>
      </c>
      <c r="G271" s="4">
        <v>85000</v>
      </c>
      <c r="H271" s="4">
        <v>0</v>
      </c>
      <c r="I271" s="13">
        <v>2000000</v>
      </c>
      <c r="J271" s="4">
        <v>60</v>
      </c>
      <c r="K271" s="4">
        <v>1</v>
      </c>
      <c r="L271" s="4" t="s">
        <v>27</v>
      </c>
      <c r="M271" s="4" t="s">
        <v>15</v>
      </c>
      <c r="N271" s="4" t="s">
        <v>623</v>
      </c>
      <c r="O271" s="4" t="s">
        <v>625</v>
      </c>
      <c r="P271" s="5">
        <v>0.18</v>
      </c>
      <c r="Q271" s="14">
        <f>PMT($V$27/12,$V$30,-$V$26)</f>
        <v>50786.854854218167</v>
      </c>
      <c r="R271" s="4">
        <v>755000</v>
      </c>
      <c r="S271" s="2" t="s">
        <v>12</v>
      </c>
    </row>
    <row r="272" spans="1:19" x14ac:dyDescent="0.3">
      <c r="A272" s="4">
        <v>271</v>
      </c>
      <c r="B272" s="4" t="s">
        <v>291</v>
      </c>
      <c r="C272" s="4" t="s">
        <v>11</v>
      </c>
      <c r="D272" s="4" t="s">
        <v>17</v>
      </c>
      <c r="E272" s="4" t="s">
        <v>13</v>
      </c>
      <c r="F272" s="4" t="s">
        <v>12</v>
      </c>
      <c r="G272" s="4">
        <v>85000</v>
      </c>
      <c r="H272" s="4">
        <v>30000</v>
      </c>
      <c r="I272" s="13">
        <v>1500000</v>
      </c>
      <c r="J272" s="4">
        <v>60</v>
      </c>
      <c r="K272" s="4">
        <v>1</v>
      </c>
      <c r="L272" s="4" t="s">
        <v>27</v>
      </c>
      <c r="M272" s="4" t="s">
        <v>15</v>
      </c>
      <c r="N272" s="4" t="s">
        <v>623</v>
      </c>
      <c r="O272" s="4" t="s">
        <v>625</v>
      </c>
      <c r="P272" s="5">
        <v>0.18</v>
      </c>
      <c r="Q272" s="14">
        <f>PMT($V$9/12,$V$12,-$V$8)</f>
        <v>38090.141140663625</v>
      </c>
      <c r="R272" s="4">
        <v>840000</v>
      </c>
      <c r="S272" s="2" t="s">
        <v>17</v>
      </c>
    </row>
    <row r="273" spans="1:19" x14ac:dyDescent="0.3">
      <c r="A273" s="4">
        <v>272</v>
      </c>
      <c r="B273" s="4" t="s">
        <v>292</v>
      </c>
      <c r="C273" s="4" t="s">
        <v>11</v>
      </c>
      <c r="D273" s="4" t="s">
        <v>17</v>
      </c>
      <c r="E273" s="4" t="s">
        <v>13</v>
      </c>
      <c r="F273" s="4" t="s">
        <v>12</v>
      </c>
      <c r="G273" s="4">
        <v>45000</v>
      </c>
      <c r="H273" s="4">
        <v>40000</v>
      </c>
      <c r="I273" s="13">
        <v>1000000</v>
      </c>
      <c r="J273" s="4">
        <v>60</v>
      </c>
      <c r="K273" s="4">
        <v>1</v>
      </c>
      <c r="L273" s="4" t="s">
        <v>14</v>
      </c>
      <c r="M273" s="4" t="s">
        <v>15</v>
      </c>
      <c r="N273" s="4" t="s">
        <v>623</v>
      </c>
      <c r="O273" s="4" t="s">
        <v>625</v>
      </c>
      <c r="P273" s="5">
        <v>0.18</v>
      </c>
      <c r="Q273" s="14">
        <f>PMT($V$3/12,$V$6,-$V$2)</f>
        <v>25393.427427109084</v>
      </c>
      <c r="R273" s="4">
        <v>540000</v>
      </c>
      <c r="S273" s="2" t="s">
        <v>12</v>
      </c>
    </row>
    <row r="274" spans="1:19" x14ac:dyDescent="0.3">
      <c r="A274" s="4">
        <v>273</v>
      </c>
      <c r="B274" s="4" t="s">
        <v>293</v>
      </c>
      <c r="C274" s="4" t="s">
        <v>11</v>
      </c>
      <c r="D274" s="4" t="s">
        <v>17</v>
      </c>
      <c r="E274" s="4" t="s">
        <v>13</v>
      </c>
      <c r="F274" s="4" t="s">
        <v>12</v>
      </c>
      <c r="G274" s="4">
        <v>25000</v>
      </c>
      <c r="H274" s="4">
        <v>0</v>
      </c>
      <c r="I274" s="13">
        <v>500000</v>
      </c>
      <c r="J274" s="4">
        <v>60</v>
      </c>
      <c r="K274" s="4">
        <v>1</v>
      </c>
      <c r="L274" s="4" t="s">
        <v>27</v>
      </c>
      <c r="M274" s="4" t="s">
        <v>15</v>
      </c>
      <c r="N274" s="4" t="s">
        <v>623</v>
      </c>
      <c r="O274" s="4" t="s">
        <v>625</v>
      </c>
      <c r="P274" s="5">
        <v>0.18</v>
      </c>
      <c r="Q274" s="14">
        <f t="shared" ref="Q274:Q275" si="25">PMT($V$15/12,$V$18,-$V$14)</f>
        <v>12696.713713554542</v>
      </c>
      <c r="R274" s="4" t="s">
        <v>635</v>
      </c>
      <c r="S274" s="2" t="s">
        <v>17</v>
      </c>
    </row>
    <row r="275" spans="1:19" x14ac:dyDescent="0.3">
      <c r="A275" s="4">
        <v>274</v>
      </c>
      <c r="B275" s="4" t="s">
        <v>294</v>
      </c>
      <c r="C275" s="4" t="s">
        <v>38</v>
      </c>
      <c r="D275" s="4" t="s">
        <v>17</v>
      </c>
      <c r="E275" s="4" t="s">
        <v>22</v>
      </c>
      <c r="F275" s="4" t="s">
        <v>12</v>
      </c>
      <c r="G275" s="4">
        <v>50000</v>
      </c>
      <c r="H275" s="4">
        <v>0</v>
      </c>
      <c r="I275" s="13">
        <v>500000</v>
      </c>
      <c r="J275" s="4">
        <v>60</v>
      </c>
      <c r="K275" s="4">
        <v>0</v>
      </c>
      <c r="L275" s="4" t="s">
        <v>18</v>
      </c>
      <c r="M275" s="4" t="s">
        <v>15</v>
      </c>
      <c r="N275" s="4" t="s">
        <v>623</v>
      </c>
      <c r="O275" s="4" t="s">
        <v>625</v>
      </c>
      <c r="P275" s="5">
        <v>0.18</v>
      </c>
      <c r="Q275" s="14">
        <f t="shared" si="25"/>
        <v>12696.713713554542</v>
      </c>
      <c r="R275" s="4">
        <v>400000</v>
      </c>
      <c r="S275" s="2" t="s">
        <v>12</v>
      </c>
    </row>
    <row r="276" spans="1:19" x14ac:dyDescent="0.3">
      <c r="A276" s="4">
        <v>275</v>
      </c>
      <c r="B276" s="4" t="s">
        <v>295</v>
      </c>
      <c r="C276" s="4" t="s">
        <v>11</v>
      </c>
      <c r="D276" s="4" t="s">
        <v>12</v>
      </c>
      <c r="E276" s="4" t="s">
        <v>22</v>
      </c>
      <c r="F276" s="4" t="s">
        <v>17</v>
      </c>
      <c r="G276" s="4">
        <v>15000</v>
      </c>
      <c r="H276" s="4">
        <v>10000</v>
      </c>
      <c r="I276" s="13">
        <v>600000</v>
      </c>
      <c r="J276" s="4">
        <v>60</v>
      </c>
      <c r="K276" s="4">
        <v>0</v>
      </c>
      <c r="L276" s="4" t="s">
        <v>14</v>
      </c>
      <c r="M276" s="4" t="s">
        <v>19</v>
      </c>
      <c r="N276" s="4" t="s">
        <v>623</v>
      </c>
      <c r="O276" s="4" t="s">
        <v>625</v>
      </c>
      <c r="P276" s="5">
        <v>0.18</v>
      </c>
      <c r="Q276" s="14">
        <f>PMT($V$39/12,$V$42,-$V$38)</f>
        <v>15236.056456265451</v>
      </c>
      <c r="R276" s="4" t="s">
        <v>635</v>
      </c>
      <c r="S276" s="2" t="s">
        <v>17</v>
      </c>
    </row>
    <row r="277" spans="1:19" x14ac:dyDescent="0.3">
      <c r="A277" s="4">
        <v>276</v>
      </c>
      <c r="B277" s="4" t="s">
        <v>296</v>
      </c>
      <c r="C277" s="4" t="s">
        <v>11</v>
      </c>
      <c r="D277" s="4" t="s">
        <v>17</v>
      </c>
      <c r="E277" s="4" t="s">
        <v>13</v>
      </c>
      <c r="F277" s="4" t="s">
        <v>12</v>
      </c>
      <c r="G277" s="4">
        <v>150000</v>
      </c>
      <c r="H277" s="4">
        <v>0</v>
      </c>
      <c r="I277" s="13">
        <v>2000000</v>
      </c>
      <c r="J277" s="4">
        <v>60</v>
      </c>
      <c r="K277" s="4">
        <v>1</v>
      </c>
      <c r="L277" s="4" t="s">
        <v>27</v>
      </c>
      <c r="M277" s="4" t="s">
        <v>15</v>
      </c>
      <c r="N277" s="4" t="s">
        <v>623</v>
      </c>
      <c r="O277" s="4" t="s">
        <v>625</v>
      </c>
      <c r="P277" s="5">
        <v>0.18</v>
      </c>
      <c r="Q277" s="14">
        <f>PMT($V$27/12,$V$30,-$V$26)</f>
        <v>50786.854854218167</v>
      </c>
      <c r="R277" s="4">
        <v>900000</v>
      </c>
      <c r="S277" s="2" t="s">
        <v>17</v>
      </c>
    </row>
    <row r="278" spans="1:19" x14ac:dyDescent="0.3">
      <c r="A278" s="4">
        <v>277</v>
      </c>
      <c r="B278" s="4" t="s">
        <v>297</v>
      </c>
      <c r="C278" s="4" t="s">
        <v>11</v>
      </c>
      <c r="D278" s="4" t="s">
        <v>17</v>
      </c>
      <c r="E278" s="4" t="s">
        <v>13</v>
      </c>
      <c r="F278" s="4" t="s">
        <v>12</v>
      </c>
      <c r="G278" s="4">
        <v>100000</v>
      </c>
      <c r="H278" s="4">
        <v>35000</v>
      </c>
      <c r="I278" s="13">
        <v>1500000</v>
      </c>
      <c r="J278" s="4">
        <v>60</v>
      </c>
      <c r="K278" s="4">
        <v>1</v>
      </c>
      <c r="L278" s="4" t="s">
        <v>14</v>
      </c>
      <c r="M278" s="4" t="s">
        <v>15</v>
      </c>
      <c r="N278" s="4" t="s">
        <v>623</v>
      </c>
      <c r="O278" s="4" t="s">
        <v>625</v>
      </c>
      <c r="P278" s="5">
        <v>0.18</v>
      </c>
      <c r="Q278" s="14">
        <f t="shared" ref="Q278:Q279" si="26">PMT($V$9/12,$V$12,-$V$8)</f>
        <v>38090.141140663625</v>
      </c>
      <c r="R278" s="4">
        <v>900000</v>
      </c>
      <c r="S278" s="2" t="s">
        <v>17</v>
      </c>
    </row>
    <row r="279" spans="1:19" x14ac:dyDescent="0.3">
      <c r="A279" s="4">
        <v>278</v>
      </c>
      <c r="B279" s="4" t="s">
        <v>298</v>
      </c>
      <c r="C279" s="4" t="s">
        <v>38</v>
      </c>
      <c r="D279" s="4" t="s">
        <v>12</v>
      </c>
      <c r="E279" s="4" t="s">
        <v>13</v>
      </c>
      <c r="F279" s="4" t="s">
        <v>12</v>
      </c>
      <c r="G279" s="4">
        <v>80000</v>
      </c>
      <c r="H279" s="4">
        <v>0</v>
      </c>
      <c r="I279" s="13">
        <v>1500000</v>
      </c>
      <c r="J279" s="4">
        <v>60</v>
      </c>
      <c r="K279" s="4">
        <v>1</v>
      </c>
      <c r="L279" s="4" t="s">
        <v>14</v>
      </c>
      <c r="M279" s="4" t="s">
        <v>15</v>
      </c>
      <c r="N279" s="4" t="s">
        <v>623</v>
      </c>
      <c r="O279" s="4" t="s">
        <v>625</v>
      </c>
      <c r="P279" s="5">
        <v>0.18</v>
      </c>
      <c r="Q279" s="14">
        <f t="shared" si="26"/>
        <v>38090.141140663625</v>
      </c>
      <c r="R279" s="4">
        <v>600000</v>
      </c>
      <c r="S279" s="2" t="s">
        <v>12</v>
      </c>
    </row>
    <row r="280" spans="1:19" x14ac:dyDescent="0.3">
      <c r="A280" s="4">
        <v>279</v>
      </c>
      <c r="B280" s="4" t="s">
        <v>299</v>
      </c>
      <c r="C280" s="4" t="s">
        <v>11</v>
      </c>
      <c r="D280" s="4" t="s">
        <v>17</v>
      </c>
      <c r="E280" s="4" t="s">
        <v>13</v>
      </c>
      <c r="F280" s="4" t="s">
        <v>12</v>
      </c>
      <c r="G280" s="4">
        <v>50000</v>
      </c>
      <c r="H280" s="4">
        <v>0</v>
      </c>
      <c r="I280" s="13">
        <v>500000</v>
      </c>
      <c r="J280" s="4">
        <v>60</v>
      </c>
      <c r="K280" s="4">
        <v>1</v>
      </c>
      <c r="L280" s="4" t="s">
        <v>18</v>
      </c>
      <c r="M280" s="4" t="s">
        <v>19</v>
      </c>
      <c r="N280" s="4" t="s">
        <v>623</v>
      </c>
      <c r="O280" s="4" t="s">
        <v>625</v>
      </c>
      <c r="P280" s="5">
        <v>0.18</v>
      </c>
      <c r="Q280" s="14">
        <f>PMT($V$15/12,$V$18,-$V$14)</f>
        <v>12696.713713554542</v>
      </c>
      <c r="R280" s="4">
        <v>410000</v>
      </c>
      <c r="S280" s="2" t="s">
        <v>12</v>
      </c>
    </row>
    <row r="281" spans="1:19" x14ac:dyDescent="0.3">
      <c r="A281" s="4">
        <v>280</v>
      </c>
      <c r="B281" s="4" t="s">
        <v>300</v>
      </c>
      <c r="C281" s="4" t="s">
        <v>11</v>
      </c>
      <c r="D281" s="4" t="s">
        <v>12</v>
      </c>
      <c r="E281" s="4" t="s">
        <v>13</v>
      </c>
      <c r="F281" s="4" t="s">
        <v>12</v>
      </c>
      <c r="G281" s="4">
        <v>200000</v>
      </c>
      <c r="H281" s="4">
        <v>50000</v>
      </c>
      <c r="I281" s="13">
        <v>3000000</v>
      </c>
      <c r="J281" s="4">
        <v>60</v>
      </c>
      <c r="K281" s="4">
        <v>1</v>
      </c>
      <c r="L281" s="4" t="s">
        <v>18</v>
      </c>
      <c r="M281" s="4" t="s">
        <v>15</v>
      </c>
      <c r="N281" s="4" t="s">
        <v>623</v>
      </c>
      <c r="O281" s="4" t="s">
        <v>625</v>
      </c>
      <c r="P281" s="5">
        <v>0.18</v>
      </c>
      <c r="Q281" s="14">
        <f>PMT($Y$81/12,$Y$84,-$Y$80)</f>
        <v>76180.282281327251</v>
      </c>
      <c r="R281" s="4">
        <v>1500000</v>
      </c>
      <c r="S281" s="2" t="s">
        <v>12</v>
      </c>
    </row>
    <row r="282" spans="1:19" x14ac:dyDescent="0.3">
      <c r="A282" s="4">
        <v>281</v>
      </c>
      <c r="B282" s="4" t="s">
        <v>301</v>
      </c>
      <c r="C282" s="4" t="s">
        <v>38</v>
      </c>
      <c r="D282" s="4" t="s">
        <v>12</v>
      </c>
      <c r="E282" s="4" t="s">
        <v>13</v>
      </c>
      <c r="F282" s="4" t="s">
        <v>17</v>
      </c>
      <c r="G282" s="4">
        <v>75000</v>
      </c>
      <c r="H282" s="4">
        <v>25000</v>
      </c>
      <c r="I282" s="13">
        <v>1000000</v>
      </c>
      <c r="J282" s="4">
        <v>60</v>
      </c>
      <c r="K282" s="4">
        <v>1</v>
      </c>
      <c r="L282" s="4" t="s">
        <v>27</v>
      </c>
      <c r="M282" s="4" t="s">
        <v>19</v>
      </c>
      <c r="N282" s="4" t="s">
        <v>623</v>
      </c>
      <c r="O282" s="4" t="s">
        <v>625</v>
      </c>
      <c r="P282" s="5">
        <v>0.18</v>
      </c>
      <c r="Q282" s="14">
        <f>PMT($V$3/12,$V$6,-$V$2)</f>
        <v>25393.427427109084</v>
      </c>
      <c r="R282" s="4">
        <v>860000</v>
      </c>
      <c r="S282" s="2" t="s">
        <v>12</v>
      </c>
    </row>
    <row r="283" spans="1:19" x14ac:dyDescent="0.3">
      <c r="A283" s="4">
        <v>282</v>
      </c>
      <c r="B283" s="4" t="s">
        <v>302</v>
      </c>
      <c r="C283" s="4" t="s">
        <v>11</v>
      </c>
      <c r="D283" s="4" t="s">
        <v>17</v>
      </c>
      <c r="E283" s="4" t="s">
        <v>13</v>
      </c>
      <c r="F283" s="4" t="s">
        <v>12</v>
      </c>
      <c r="G283" s="4">
        <v>50000</v>
      </c>
      <c r="H283" s="4">
        <v>35000</v>
      </c>
      <c r="I283" s="13">
        <v>1500000</v>
      </c>
      <c r="J283" s="4">
        <v>60</v>
      </c>
      <c r="K283" s="4">
        <v>1</v>
      </c>
      <c r="L283" s="4" t="s">
        <v>18</v>
      </c>
      <c r="M283" s="4" t="s">
        <v>15</v>
      </c>
      <c r="N283" s="4" t="s">
        <v>623</v>
      </c>
      <c r="O283" s="4" t="s">
        <v>625</v>
      </c>
      <c r="P283" s="5">
        <v>0.18</v>
      </c>
      <c r="Q283" s="14">
        <f>PMT($V$9/12,$V$12,-$V$8)</f>
        <v>38090.141140663625</v>
      </c>
      <c r="R283" s="4">
        <v>590000</v>
      </c>
      <c r="S283" s="2" t="s">
        <v>12</v>
      </c>
    </row>
    <row r="284" spans="1:19" x14ac:dyDescent="0.3">
      <c r="A284" s="4">
        <v>283</v>
      </c>
      <c r="B284" s="4" t="s">
        <v>303</v>
      </c>
      <c r="C284" s="4" t="s">
        <v>38</v>
      </c>
      <c r="D284" s="4" t="s">
        <v>12</v>
      </c>
      <c r="E284" s="4" t="s">
        <v>13</v>
      </c>
      <c r="F284" s="4" t="s">
        <v>12</v>
      </c>
      <c r="G284" s="4">
        <v>85000</v>
      </c>
      <c r="H284" s="4">
        <v>0</v>
      </c>
      <c r="I284" s="13">
        <v>1000000</v>
      </c>
      <c r="J284" s="4">
        <v>60</v>
      </c>
      <c r="K284" s="4">
        <v>1</v>
      </c>
      <c r="L284" s="4" t="s">
        <v>27</v>
      </c>
      <c r="M284" s="4" t="s">
        <v>15</v>
      </c>
      <c r="N284" s="4" t="s">
        <v>623</v>
      </c>
      <c r="O284" s="4" t="s">
        <v>625</v>
      </c>
      <c r="P284" s="5">
        <v>0.18</v>
      </c>
      <c r="Q284" s="14">
        <f>PMT($V$3/12,$V$6,-$V$2)</f>
        <v>25393.427427109084</v>
      </c>
      <c r="R284" s="4">
        <v>640000</v>
      </c>
      <c r="S284" s="2" t="s">
        <v>12</v>
      </c>
    </row>
    <row r="285" spans="1:19" x14ac:dyDescent="0.3">
      <c r="A285" s="4">
        <v>284</v>
      </c>
      <c r="B285" s="4" t="s">
        <v>304</v>
      </c>
      <c r="C285" s="4" t="s">
        <v>11</v>
      </c>
      <c r="D285" s="4" t="s">
        <v>12</v>
      </c>
      <c r="E285" s="4" t="s">
        <v>13</v>
      </c>
      <c r="F285" s="4" t="s">
        <v>12</v>
      </c>
      <c r="G285" s="4">
        <v>50000</v>
      </c>
      <c r="H285" s="4">
        <v>30000</v>
      </c>
      <c r="I285" s="13">
        <v>2000000</v>
      </c>
      <c r="J285" s="4">
        <v>60</v>
      </c>
      <c r="K285" s="4">
        <v>1</v>
      </c>
      <c r="L285" s="4" t="s">
        <v>18</v>
      </c>
      <c r="M285" s="4" t="s">
        <v>15</v>
      </c>
      <c r="N285" s="4" t="s">
        <v>623</v>
      </c>
      <c r="O285" s="4" t="s">
        <v>625</v>
      </c>
      <c r="P285" s="5">
        <v>0.18</v>
      </c>
      <c r="Q285" s="14">
        <f>PMT($V$27/12,$V$30,-$V$26)</f>
        <v>50786.854854218167</v>
      </c>
      <c r="R285" s="4">
        <v>680000</v>
      </c>
      <c r="S285" s="2" t="s">
        <v>12</v>
      </c>
    </row>
    <row r="286" spans="1:19" x14ac:dyDescent="0.3">
      <c r="A286" s="4">
        <v>285</v>
      </c>
      <c r="B286" s="4" t="s">
        <v>305</v>
      </c>
      <c r="C286" s="4" t="s">
        <v>11</v>
      </c>
      <c r="D286" s="4" t="s">
        <v>17</v>
      </c>
      <c r="E286" s="4" t="s">
        <v>13</v>
      </c>
      <c r="F286" s="4" t="s">
        <v>12</v>
      </c>
      <c r="G286" s="4">
        <v>65000</v>
      </c>
      <c r="H286" s="4">
        <v>20000</v>
      </c>
      <c r="I286" s="13">
        <v>800000</v>
      </c>
      <c r="J286" s="4">
        <v>60</v>
      </c>
      <c r="K286" s="4">
        <v>1</v>
      </c>
      <c r="L286" s="4" t="s">
        <v>18</v>
      </c>
      <c r="M286" s="4" t="s">
        <v>15</v>
      </c>
      <c r="N286" s="4" t="s">
        <v>623</v>
      </c>
      <c r="O286" s="4" t="s">
        <v>625</v>
      </c>
      <c r="P286" s="5">
        <v>0.18</v>
      </c>
      <c r="Q286" s="14">
        <f>PMT($V$33/12,$V$36,-$V$32)</f>
        <v>20314.741941687265</v>
      </c>
      <c r="R286" s="4">
        <v>700000</v>
      </c>
      <c r="S286" s="2" t="s">
        <v>17</v>
      </c>
    </row>
    <row r="287" spans="1:19" x14ac:dyDescent="0.3">
      <c r="A287" s="4">
        <v>286</v>
      </c>
      <c r="B287" s="4" t="s">
        <v>306</v>
      </c>
      <c r="C287" s="4" t="s">
        <v>11</v>
      </c>
      <c r="D287" s="4" t="s">
        <v>17</v>
      </c>
      <c r="E287" s="4" t="s">
        <v>13</v>
      </c>
      <c r="F287" s="4" t="s">
        <v>12</v>
      </c>
      <c r="G287" s="4">
        <v>55000</v>
      </c>
      <c r="H287" s="4">
        <v>25000</v>
      </c>
      <c r="I287" s="13">
        <v>1000000</v>
      </c>
      <c r="J287" s="4">
        <v>60</v>
      </c>
      <c r="K287" s="4">
        <v>0</v>
      </c>
      <c r="L287" s="4" t="s">
        <v>27</v>
      </c>
      <c r="M287" s="4" t="s">
        <v>19</v>
      </c>
      <c r="N287" s="4" t="s">
        <v>623</v>
      </c>
      <c r="O287" s="4" t="s">
        <v>625</v>
      </c>
      <c r="P287" s="5">
        <v>0.18</v>
      </c>
      <c r="Q287" s="14">
        <f>PMT($V$3/12,$V$6,-$V$2)</f>
        <v>25393.427427109084</v>
      </c>
      <c r="R287" s="4">
        <v>630000</v>
      </c>
      <c r="S287" s="2" t="s">
        <v>12</v>
      </c>
    </row>
    <row r="288" spans="1:19" x14ac:dyDescent="0.3">
      <c r="A288" s="4">
        <v>287</v>
      </c>
      <c r="B288" s="4" t="s">
        <v>307</v>
      </c>
      <c r="C288" s="4" t="s">
        <v>11</v>
      </c>
      <c r="D288" s="4" t="s">
        <v>17</v>
      </c>
      <c r="E288" s="4" t="s">
        <v>13</v>
      </c>
      <c r="F288" s="4" t="s">
        <v>12</v>
      </c>
      <c r="G288" s="4">
        <v>53000</v>
      </c>
      <c r="H288" s="4">
        <v>0</v>
      </c>
      <c r="I288" s="13">
        <v>620000</v>
      </c>
      <c r="J288" s="4">
        <v>60</v>
      </c>
      <c r="K288" s="4">
        <v>1</v>
      </c>
      <c r="L288" s="4" t="s">
        <v>14</v>
      </c>
      <c r="M288" s="4" t="s">
        <v>15</v>
      </c>
      <c r="N288" s="4" t="s">
        <v>623</v>
      </c>
      <c r="O288" s="4" t="s">
        <v>625</v>
      </c>
      <c r="P288" s="5">
        <v>0.18</v>
      </c>
      <c r="Q288" s="14">
        <f>PMT($AB$15/12,$AB$18,-$AB$14)</f>
        <v>15743.925004807632</v>
      </c>
      <c r="R288" s="4">
        <v>420000</v>
      </c>
      <c r="S288" s="2" t="s">
        <v>12</v>
      </c>
    </row>
    <row r="289" spans="1:19" x14ac:dyDescent="0.3">
      <c r="A289" s="4">
        <v>288</v>
      </c>
      <c r="B289" s="4" t="s">
        <v>308</v>
      </c>
      <c r="C289" s="4" t="s">
        <v>38</v>
      </c>
      <c r="D289" s="4" t="s">
        <v>12</v>
      </c>
      <c r="E289" s="4" t="s">
        <v>13</v>
      </c>
      <c r="F289" s="4" t="s">
        <v>12</v>
      </c>
      <c r="G289" s="4">
        <v>84200</v>
      </c>
      <c r="H289" s="4">
        <v>77000</v>
      </c>
      <c r="I289" s="13">
        <v>952000</v>
      </c>
      <c r="J289" s="4">
        <v>60</v>
      </c>
      <c r="K289" s="4">
        <v>0</v>
      </c>
      <c r="L289" s="4" t="s">
        <v>14</v>
      </c>
      <c r="M289" s="4" t="s">
        <v>19</v>
      </c>
      <c r="N289" s="4" t="s">
        <v>623</v>
      </c>
      <c r="O289" s="4" t="s">
        <v>625</v>
      </c>
      <c r="P289" s="5">
        <v>0.18</v>
      </c>
      <c r="Q289" s="14">
        <f>PMT($AB$21/12,$AB$24,-$AB$20)</f>
        <v>24174.542910607848</v>
      </c>
      <c r="R289" s="4">
        <v>1000000</v>
      </c>
      <c r="S289" s="2" t="s">
        <v>17</v>
      </c>
    </row>
    <row r="290" spans="1:19" x14ac:dyDescent="0.3">
      <c r="A290" s="4">
        <v>289</v>
      </c>
      <c r="B290" s="4" t="s">
        <v>309</v>
      </c>
      <c r="C290" s="4" t="s">
        <v>11</v>
      </c>
      <c r="D290" s="4" t="s">
        <v>17</v>
      </c>
      <c r="E290" s="4" t="s">
        <v>13</v>
      </c>
      <c r="F290" s="4" t="s">
        <v>12</v>
      </c>
      <c r="G290" s="4">
        <v>45000</v>
      </c>
      <c r="H290" s="4">
        <v>44000</v>
      </c>
      <c r="I290" s="13">
        <v>840000</v>
      </c>
      <c r="J290" s="4">
        <v>60</v>
      </c>
      <c r="K290" s="4">
        <v>1</v>
      </c>
      <c r="L290" s="4" t="s">
        <v>27</v>
      </c>
      <c r="M290" s="4" t="s">
        <v>15</v>
      </c>
      <c r="N290" s="4" t="s">
        <v>623</v>
      </c>
      <c r="O290" s="4" t="s">
        <v>625</v>
      </c>
      <c r="P290" s="5">
        <v>0.18</v>
      </c>
      <c r="Q290" s="14">
        <f>PMT($AB$27/12,$AB$30,-$AB$26)</f>
        <v>21330.479038771631</v>
      </c>
      <c r="R290" s="4">
        <v>455000</v>
      </c>
      <c r="S290" s="2" t="s">
        <v>17</v>
      </c>
    </row>
    <row r="291" spans="1:19" x14ac:dyDescent="0.3">
      <c r="A291" s="4">
        <v>290</v>
      </c>
      <c r="B291" s="4" t="s">
        <v>310</v>
      </c>
      <c r="C291" s="4" t="s">
        <v>11</v>
      </c>
      <c r="D291" s="4" t="s">
        <v>17</v>
      </c>
      <c r="E291" s="4" t="s">
        <v>13</v>
      </c>
      <c r="F291" s="4" t="s">
        <v>17</v>
      </c>
      <c r="G291" s="4">
        <v>54000</v>
      </c>
      <c r="H291" s="4">
        <v>0</v>
      </c>
      <c r="I291" s="13">
        <v>550000</v>
      </c>
      <c r="J291" s="4">
        <v>60</v>
      </c>
      <c r="K291" s="4">
        <v>1</v>
      </c>
      <c r="L291" s="4" t="s">
        <v>14</v>
      </c>
      <c r="M291" s="4" t="s">
        <v>15</v>
      </c>
      <c r="N291" s="4" t="s">
        <v>623</v>
      </c>
      <c r="O291" s="4" t="s">
        <v>625</v>
      </c>
      <c r="P291" s="5">
        <v>0.18</v>
      </c>
      <c r="Q291" s="14">
        <f>PMT($AB$33/12,$AB$36,-$AB$32)</f>
        <v>13966.385084909996</v>
      </c>
      <c r="R291" s="4">
        <v>400000</v>
      </c>
      <c r="S291" s="2" t="s">
        <v>17</v>
      </c>
    </row>
    <row r="292" spans="1:19" x14ac:dyDescent="0.3">
      <c r="A292" s="4">
        <v>291</v>
      </c>
      <c r="B292" s="4" t="s">
        <v>311</v>
      </c>
      <c r="C292" s="4" t="s">
        <v>11</v>
      </c>
      <c r="D292" s="4" t="s">
        <v>17</v>
      </c>
      <c r="E292" s="4" t="s">
        <v>13</v>
      </c>
      <c r="F292" s="4" t="s">
        <v>12</v>
      </c>
      <c r="G292" s="4">
        <v>87000</v>
      </c>
      <c r="H292" s="4">
        <v>0</v>
      </c>
      <c r="I292" s="13">
        <v>1000000</v>
      </c>
      <c r="J292" s="4">
        <v>60</v>
      </c>
      <c r="K292" s="4">
        <v>1</v>
      </c>
      <c r="L292" s="4" t="s">
        <v>27</v>
      </c>
      <c r="M292" s="4" t="s">
        <v>15</v>
      </c>
      <c r="N292" s="4" t="s">
        <v>623</v>
      </c>
      <c r="O292" s="4" t="s">
        <v>625</v>
      </c>
      <c r="P292" s="5">
        <v>0.18</v>
      </c>
      <c r="Q292" s="14">
        <f>PMT($V$3/12,$V$6,-$V$2)</f>
        <v>25393.427427109084</v>
      </c>
      <c r="R292" s="4">
        <v>635000</v>
      </c>
      <c r="S292" s="2" t="s">
        <v>17</v>
      </c>
    </row>
    <row r="293" spans="1:19" x14ac:dyDescent="0.3">
      <c r="A293" s="4">
        <v>292</v>
      </c>
      <c r="B293" s="4" t="s">
        <v>312</v>
      </c>
      <c r="C293" s="4" t="s">
        <v>38</v>
      </c>
      <c r="D293" s="4" t="s">
        <v>17</v>
      </c>
      <c r="E293" s="4" t="s">
        <v>13</v>
      </c>
      <c r="F293" s="4" t="s">
        <v>12</v>
      </c>
      <c r="G293" s="4">
        <v>24601</v>
      </c>
      <c r="H293" s="4">
        <v>0</v>
      </c>
      <c r="I293" s="13">
        <v>423601</v>
      </c>
      <c r="J293" s="4">
        <v>60</v>
      </c>
      <c r="K293" s="4">
        <v>1</v>
      </c>
      <c r="L293" s="4" t="s">
        <v>14</v>
      </c>
      <c r="M293" s="4" t="s">
        <v>15</v>
      </c>
      <c r="N293" s="4" t="s">
        <v>623</v>
      </c>
      <c r="O293" s="4" t="s">
        <v>625</v>
      </c>
      <c r="P293" s="5">
        <v>0.18</v>
      </c>
      <c r="Q293" s="14">
        <f>PMT($AB$39/12,$AB$42,-$AB$38)</f>
        <v>10756.681251550835</v>
      </c>
      <c r="R293" s="4" t="s">
        <v>635</v>
      </c>
      <c r="S293" s="2" t="s">
        <v>12</v>
      </c>
    </row>
    <row r="294" spans="1:19" x14ac:dyDescent="0.3">
      <c r="A294" s="4">
        <v>293</v>
      </c>
      <c r="B294" s="4" t="s">
        <v>313</v>
      </c>
      <c r="C294" s="4" t="s">
        <v>38</v>
      </c>
      <c r="D294" s="4" t="s">
        <v>12</v>
      </c>
      <c r="E294" s="4" t="s">
        <v>13</v>
      </c>
      <c r="F294" s="4" t="s">
        <v>12</v>
      </c>
      <c r="G294" s="4">
        <v>75000</v>
      </c>
      <c r="H294" s="4">
        <v>0</v>
      </c>
      <c r="I294" s="13">
        <v>358000</v>
      </c>
      <c r="J294" s="4">
        <v>60</v>
      </c>
      <c r="K294" s="4">
        <v>1</v>
      </c>
      <c r="L294" s="4" t="s">
        <v>18</v>
      </c>
      <c r="M294" s="4" t="s">
        <v>19</v>
      </c>
      <c r="N294" s="4" t="s">
        <v>623</v>
      </c>
      <c r="O294" s="4" t="s">
        <v>625</v>
      </c>
      <c r="P294" s="5">
        <v>0.18</v>
      </c>
      <c r="Q294" s="14">
        <f>PMT($AB$45/12,$AB$48,-$AB$44)</f>
        <v>9090.8470189050531</v>
      </c>
      <c r="R294" s="4">
        <v>640000</v>
      </c>
      <c r="S294" s="2" t="s">
        <v>12</v>
      </c>
    </row>
    <row r="295" spans="1:19" x14ac:dyDescent="0.3">
      <c r="A295" s="4">
        <v>294</v>
      </c>
      <c r="B295" s="4" t="s">
        <v>314</v>
      </c>
      <c r="C295" s="4" t="s">
        <v>11</v>
      </c>
      <c r="D295" s="4" t="s">
        <v>17</v>
      </c>
      <c r="E295" s="4" t="s">
        <v>13</v>
      </c>
      <c r="F295" s="4" t="s">
        <v>12</v>
      </c>
      <c r="G295" s="4">
        <v>69700</v>
      </c>
      <c r="H295" s="4">
        <v>0</v>
      </c>
      <c r="I295" s="13">
        <v>587000</v>
      </c>
      <c r="J295" s="4">
        <v>60</v>
      </c>
      <c r="K295" s="4">
        <v>1</v>
      </c>
      <c r="L295" s="4" t="s">
        <v>14</v>
      </c>
      <c r="M295" s="4" t="s">
        <v>19</v>
      </c>
      <c r="N295" s="4" t="s">
        <v>623</v>
      </c>
      <c r="O295" s="4" t="s">
        <v>625</v>
      </c>
      <c r="P295" s="5">
        <v>0.18</v>
      </c>
      <c r="Q295" s="14">
        <f>PMT($AB$51/12,$AB$54,-$AB$50)</f>
        <v>14905.941899713032</v>
      </c>
      <c r="R295" s="4">
        <v>600000</v>
      </c>
      <c r="S295" s="2" t="s">
        <v>12</v>
      </c>
    </row>
    <row r="296" spans="1:19" x14ac:dyDescent="0.3">
      <c r="A296" s="4">
        <v>295</v>
      </c>
      <c r="B296" s="4" t="s">
        <v>315</v>
      </c>
      <c r="C296" s="4" t="s">
        <v>11</v>
      </c>
      <c r="D296" s="4" t="s">
        <v>17</v>
      </c>
      <c r="E296" s="4" t="s">
        <v>22</v>
      </c>
      <c r="F296" s="4" t="s">
        <v>12</v>
      </c>
      <c r="G296" s="4">
        <v>52400</v>
      </c>
      <c r="H296" s="4">
        <v>48733</v>
      </c>
      <c r="I296" s="13">
        <v>789000</v>
      </c>
      <c r="J296" s="4">
        <v>60</v>
      </c>
      <c r="K296" s="4">
        <v>0</v>
      </c>
      <c r="L296" s="4" t="s">
        <v>14</v>
      </c>
      <c r="M296" s="4" t="s">
        <v>19</v>
      </c>
      <c r="N296" s="4" t="s">
        <v>623</v>
      </c>
      <c r="O296" s="4" t="s">
        <v>625</v>
      </c>
      <c r="P296" s="5">
        <v>0.18</v>
      </c>
      <c r="Q296" s="14">
        <f>PMT($V$45/12,$V$48,-$V$44)</f>
        <v>20035.414239989066</v>
      </c>
      <c r="R296" s="4">
        <v>755000</v>
      </c>
      <c r="S296" s="2" t="s">
        <v>12</v>
      </c>
    </row>
    <row r="297" spans="1:19" x14ac:dyDescent="0.3">
      <c r="A297" s="4">
        <v>296</v>
      </c>
      <c r="B297" s="4" t="s">
        <v>316</v>
      </c>
      <c r="C297" s="4" t="s">
        <v>11</v>
      </c>
      <c r="D297" s="4" t="s">
        <v>17</v>
      </c>
      <c r="E297" s="4" t="s">
        <v>22</v>
      </c>
      <c r="F297" s="4" t="s">
        <v>12</v>
      </c>
      <c r="G297" s="4">
        <v>47860</v>
      </c>
      <c r="H297" s="4">
        <v>24970</v>
      </c>
      <c r="I297" s="13">
        <v>975000</v>
      </c>
      <c r="J297" s="4">
        <v>60</v>
      </c>
      <c r="K297" s="4">
        <v>1</v>
      </c>
      <c r="L297" s="4" t="s">
        <v>27</v>
      </c>
      <c r="M297" s="4" t="s">
        <v>15</v>
      </c>
      <c r="N297" s="4" t="s">
        <v>623</v>
      </c>
      <c r="O297" s="4" t="s">
        <v>625</v>
      </c>
      <c r="P297" s="5">
        <v>0.18</v>
      </c>
      <c r="Q297" s="14">
        <f>PMT($Y$45/12,$Y$48,-$Y$44)</f>
        <v>24758.591741431355</v>
      </c>
      <c r="R297" s="4">
        <v>700000</v>
      </c>
      <c r="S297" s="2" t="s">
        <v>12</v>
      </c>
    </row>
    <row r="298" spans="1:19" x14ac:dyDescent="0.3">
      <c r="A298" s="4">
        <v>297</v>
      </c>
      <c r="B298" s="4" t="s">
        <v>317</v>
      </c>
      <c r="C298" s="4" t="s">
        <v>38</v>
      </c>
      <c r="D298" s="4" t="s">
        <v>12</v>
      </c>
      <c r="E298" s="4" t="s">
        <v>13</v>
      </c>
      <c r="F298" s="4" t="s">
        <v>12</v>
      </c>
      <c r="G298" s="4">
        <v>56980</v>
      </c>
      <c r="H298" s="4">
        <v>25600</v>
      </c>
      <c r="I298" s="13">
        <v>849300</v>
      </c>
      <c r="J298" s="4">
        <v>60</v>
      </c>
      <c r="K298" s="4">
        <v>1</v>
      </c>
      <c r="L298" s="4" t="s">
        <v>18</v>
      </c>
      <c r="M298" s="4" t="s">
        <v>15</v>
      </c>
      <c r="N298" s="4" t="s">
        <v>623</v>
      </c>
      <c r="O298" s="4" t="s">
        <v>625</v>
      </c>
      <c r="P298" s="5">
        <v>0.18</v>
      </c>
      <c r="Q298" s="14">
        <f>PMT($V$51/12,$V$54,-$V$50)</f>
        <v>21566.637913843744</v>
      </c>
      <c r="R298" s="4">
        <v>765000</v>
      </c>
      <c r="S298" s="2" t="s">
        <v>12</v>
      </c>
    </row>
    <row r="299" spans="1:19" x14ac:dyDescent="0.3">
      <c r="A299" s="4">
        <v>298</v>
      </c>
      <c r="B299" s="4" t="s">
        <v>318</v>
      </c>
      <c r="C299" s="4" t="s">
        <v>11</v>
      </c>
      <c r="D299" s="4" t="s">
        <v>17</v>
      </c>
      <c r="E299" s="4" t="s">
        <v>13</v>
      </c>
      <c r="F299" s="4" t="s">
        <v>12</v>
      </c>
      <c r="G299" s="4">
        <v>49800</v>
      </c>
      <c r="H299" s="4">
        <v>0</v>
      </c>
      <c r="I299" s="13">
        <v>487500</v>
      </c>
      <c r="J299" s="4">
        <v>60</v>
      </c>
      <c r="K299" s="4">
        <v>1</v>
      </c>
      <c r="L299" s="4" t="s">
        <v>14</v>
      </c>
      <c r="M299" s="4" t="s">
        <v>15</v>
      </c>
      <c r="N299" s="4" t="s">
        <v>623</v>
      </c>
      <c r="O299" s="4" t="s">
        <v>625</v>
      </c>
      <c r="P299" s="5">
        <v>0.18</v>
      </c>
      <c r="Q299" s="14">
        <f>PMT($Y$51/12,$Y$54,-$Y$50)</f>
        <v>12379.295870715678</v>
      </c>
      <c r="R299" s="4">
        <v>400000</v>
      </c>
      <c r="S299" s="2" t="s">
        <v>12</v>
      </c>
    </row>
    <row r="300" spans="1:19" x14ac:dyDescent="0.3">
      <c r="A300" s="4">
        <v>299</v>
      </c>
      <c r="B300" s="4" t="s">
        <v>319</v>
      </c>
      <c r="C300" s="4" t="s">
        <v>11</v>
      </c>
      <c r="D300" s="4" t="s">
        <v>12</v>
      </c>
      <c r="E300" s="4" t="s">
        <v>13</v>
      </c>
      <c r="F300" s="4" t="s">
        <v>12</v>
      </c>
      <c r="G300" s="4">
        <v>58799</v>
      </c>
      <c r="H300" s="4">
        <v>26870</v>
      </c>
      <c r="I300" s="13">
        <v>875644</v>
      </c>
      <c r="J300" s="4">
        <v>60</v>
      </c>
      <c r="K300" s="4">
        <v>1</v>
      </c>
      <c r="L300" s="4" t="s">
        <v>18</v>
      </c>
      <c r="M300" s="4" t="s">
        <v>15</v>
      </c>
      <c r="N300" s="4" t="s">
        <v>623</v>
      </c>
      <c r="O300" s="4" t="s">
        <v>625</v>
      </c>
      <c r="P300" s="5">
        <v>0.18</v>
      </c>
      <c r="Q300" s="14">
        <f>PMT($V$57/12,$V$60,-$V$56)</f>
        <v>22235.602365983505</v>
      </c>
      <c r="R300" s="4">
        <v>620000</v>
      </c>
      <c r="S300" s="2" t="s">
        <v>12</v>
      </c>
    </row>
    <row r="301" spans="1:19" x14ac:dyDescent="0.3">
      <c r="A301" s="4">
        <v>300</v>
      </c>
      <c r="B301" s="4" t="s">
        <v>320</v>
      </c>
      <c r="C301" s="4" t="s">
        <v>11</v>
      </c>
      <c r="D301" s="4" t="s">
        <v>12</v>
      </c>
      <c r="E301" s="4" t="s">
        <v>22</v>
      </c>
      <c r="F301" s="4" t="s">
        <v>12</v>
      </c>
      <c r="G301" s="4">
        <v>48799</v>
      </c>
      <c r="H301" s="4">
        <v>34690</v>
      </c>
      <c r="I301" s="13">
        <v>654420</v>
      </c>
      <c r="J301" s="4">
        <v>60</v>
      </c>
      <c r="K301" s="4">
        <v>1</v>
      </c>
      <c r="L301" s="4" t="s">
        <v>14</v>
      </c>
      <c r="M301" s="4" t="s">
        <v>19</v>
      </c>
      <c r="N301" s="4" t="s">
        <v>623</v>
      </c>
      <c r="O301" s="4" t="s">
        <v>625</v>
      </c>
      <c r="P301" s="5">
        <v>0.18</v>
      </c>
      <c r="Q301" s="14">
        <f>PMT($Y$57/12,$Y$60,-$Y$56)</f>
        <v>16617.966776848727</v>
      </c>
      <c r="R301" s="4">
        <v>600000</v>
      </c>
      <c r="S301" s="2" t="s">
        <v>17</v>
      </c>
    </row>
    <row r="302" spans="1:19" x14ac:dyDescent="0.3">
      <c r="A302" s="4">
        <v>301</v>
      </c>
      <c r="B302" s="4" t="s">
        <v>321</v>
      </c>
      <c r="C302" s="4" t="s">
        <v>38</v>
      </c>
      <c r="D302" s="4" t="s">
        <v>12</v>
      </c>
      <c r="E302" s="4" t="s">
        <v>13</v>
      </c>
      <c r="F302" s="4" t="s">
        <v>12</v>
      </c>
      <c r="G302" s="4">
        <v>35000</v>
      </c>
      <c r="H302" s="4">
        <v>48700</v>
      </c>
      <c r="I302" s="13">
        <v>800000</v>
      </c>
      <c r="J302" s="4">
        <v>60</v>
      </c>
      <c r="K302" s="4">
        <v>1</v>
      </c>
      <c r="L302" s="4" t="s">
        <v>18</v>
      </c>
      <c r="M302" s="4" t="s">
        <v>15</v>
      </c>
      <c r="N302" s="4" t="s">
        <v>623</v>
      </c>
      <c r="O302" s="4" t="s">
        <v>625</v>
      </c>
      <c r="P302" s="5">
        <v>0.18</v>
      </c>
      <c r="Q302" s="14">
        <f>PMT($V$33/12,$V$36,-$V$32)</f>
        <v>20314.741941687265</v>
      </c>
      <c r="R302" s="4">
        <v>500000</v>
      </c>
      <c r="S302" s="2" t="s">
        <v>12</v>
      </c>
    </row>
    <row r="303" spans="1:19" x14ac:dyDescent="0.3">
      <c r="A303" s="4">
        <v>302</v>
      </c>
      <c r="B303" s="4" t="s">
        <v>322</v>
      </c>
      <c r="C303" s="4" t="s">
        <v>38</v>
      </c>
      <c r="D303" s="4" t="s">
        <v>12</v>
      </c>
      <c r="E303" s="4" t="s">
        <v>13</v>
      </c>
      <c r="F303" s="4" t="s">
        <v>12</v>
      </c>
      <c r="G303" s="4">
        <v>35000</v>
      </c>
      <c r="H303" s="4">
        <v>0</v>
      </c>
      <c r="I303" s="13">
        <v>620000</v>
      </c>
      <c r="J303" s="4">
        <v>60</v>
      </c>
      <c r="K303" s="4">
        <v>0</v>
      </c>
      <c r="L303" s="4" t="s">
        <v>14</v>
      </c>
      <c r="M303" s="4" t="s">
        <v>19</v>
      </c>
      <c r="N303" s="4" t="s">
        <v>623</v>
      </c>
      <c r="O303" s="4" t="s">
        <v>625</v>
      </c>
      <c r="P303" s="5">
        <v>0.18</v>
      </c>
      <c r="Q303" s="14">
        <f>PMT($AB$15/12,$AB$18,-$AB$14)</f>
        <v>15743.925004807632</v>
      </c>
      <c r="R303" s="4">
        <v>200000</v>
      </c>
      <c r="S303" s="2" t="s">
        <v>17</v>
      </c>
    </row>
    <row r="304" spans="1:19" x14ac:dyDescent="0.3">
      <c r="A304" s="4">
        <v>303</v>
      </c>
      <c r="B304" s="4" t="s">
        <v>323</v>
      </c>
      <c r="C304" s="4" t="s">
        <v>11</v>
      </c>
      <c r="D304" s="4" t="s">
        <v>12</v>
      </c>
      <c r="E304" s="4" t="s">
        <v>13</v>
      </c>
      <c r="F304" s="4" t="s">
        <v>12</v>
      </c>
      <c r="G304" s="4">
        <v>21654</v>
      </c>
      <c r="H304" s="4">
        <v>14620</v>
      </c>
      <c r="I304" s="13">
        <v>489300</v>
      </c>
      <c r="J304" s="4">
        <v>60</v>
      </c>
      <c r="K304" s="4">
        <v>1</v>
      </c>
      <c r="L304" s="4" t="s">
        <v>18</v>
      </c>
      <c r="M304" s="4" t="s">
        <v>19</v>
      </c>
      <c r="N304" s="4" t="s">
        <v>623</v>
      </c>
      <c r="O304" s="4" t="s">
        <v>625</v>
      </c>
      <c r="P304" s="5">
        <v>0.18</v>
      </c>
      <c r="Q304" s="14">
        <f>PMT($AB$57/12,$AB$60,-$AB$56)</f>
        <v>12425.004040084474</v>
      </c>
      <c r="R304" s="4">
        <v>200000</v>
      </c>
      <c r="S304" s="2" t="s">
        <v>12</v>
      </c>
    </row>
    <row r="305" spans="1:19" x14ac:dyDescent="0.3">
      <c r="A305" s="4">
        <v>304</v>
      </c>
      <c r="B305" s="4" t="s">
        <v>324</v>
      </c>
      <c r="C305" s="4" t="s">
        <v>11</v>
      </c>
      <c r="D305" s="4" t="s">
        <v>17</v>
      </c>
      <c r="E305" s="4" t="s">
        <v>22</v>
      </c>
      <c r="F305" s="4" t="s">
        <v>12</v>
      </c>
      <c r="G305" s="4">
        <v>25000</v>
      </c>
      <c r="H305" s="4">
        <v>0</v>
      </c>
      <c r="I305" s="13">
        <v>500000</v>
      </c>
      <c r="J305" s="4">
        <v>60</v>
      </c>
      <c r="K305" s="4">
        <v>0</v>
      </c>
      <c r="L305" s="4" t="s">
        <v>18</v>
      </c>
      <c r="M305" s="4" t="s">
        <v>15</v>
      </c>
      <c r="N305" s="4" t="s">
        <v>623</v>
      </c>
      <c r="O305" s="4" t="s">
        <v>625</v>
      </c>
      <c r="P305" s="5">
        <v>0.18</v>
      </c>
      <c r="Q305" s="14">
        <f>PMT($V$15/12,$V$18,-$V$14)</f>
        <v>12696.713713554542</v>
      </c>
      <c r="R305" s="4" t="s">
        <v>635</v>
      </c>
      <c r="S305" s="2" t="s">
        <v>12</v>
      </c>
    </row>
    <row r="306" spans="1:19" x14ac:dyDescent="0.3">
      <c r="A306" s="4">
        <v>305</v>
      </c>
      <c r="B306" s="4" t="s">
        <v>325</v>
      </c>
      <c r="C306" s="4" t="s">
        <v>38</v>
      </c>
      <c r="D306" s="4" t="s">
        <v>12</v>
      </c>
      <c r="E306" s="4" t="s">
        <v>13</v>
      </c>
      <c r="F306" s="4" t="s">
        <v>12</v>
      </c>
      <c r="G306" s="4">
        <v>35700</v>
      </c>
      <c r="H306" s="4">
        <v>0</v>
      </c>
      <c r="I306" s="13">
        <v>478000</v>
      </c>
      <c r="J306" s="4">
        <v>60</v>
      </c>
      <c r="K306" s="4">
        <v>1</v>
      </c>
      <c r="L306" s="4" t="s">
        <v>27</v>
      </c>
      <c r="M306" s="4" t="s">
        <v>15</v>
      </c>
      <c r="N306" s="4" t="s">
        <v>623</v>
      </c>
      <c r="O306" s="4" t="s">
        <v>625</v>
      </c>
      <c r="P306" s="5">
        <v>0.18</v>
      </c>
      <c r="Q306" s="14">
        <f>PMT($V$63/12,$V$66,-$V$62)</f>
        <v>12138.058310158141</v>
      </c>
      <c r="R306" s="4">
        <v>250000</v>
      </c>
      <c r="S306" s="2" t="s">
        <v>12</v>
      </c>
    </row>
    <row r="307" spans="1:19" x14ac:dyDescent="0.3">
      <c r="A307" s="4">
        <v>306</v>
      </c>
      <c r="B307" s="4" t="s">
        <v>326</v>
      </c>
      <c r="C307" s="4" t="s">
        <v>11</v>
      </c>
      <c r="D307" s="4" t="s">
        <v>12</v>
      </c>
      <c r="E307" s="4" t="s">
        <v>22</v>
      </c>
      <c r="F307" s="4" t="s">
        <v>12</v>
      </c>
      <c r="G307" s="4">
        <v>48550</v>
      </c>
      <c r="H307" s="4">
        <v>54800</v>
      </c>
      <c r="I307" s="13">
        <v>748890</v>
      </c>
      <c r="J307" s="4">
        <v>60</v>
      </c>
      <c r="K307" s="4">
        <v>1</v>
      </c>
      <c r="L307" s="4" t="s">
        <v>27</v>
      </c>
      <c r="M307" s="4" t="s">
        <v>15</v>
      </c>
      <c r="N307" s="4" t="s">
        <v>623</v>
      </c>
      <c r="O307" s="4" t="s">
        <v>625</v>
      </c>
      <c r="P307" s="5">
        <v>0.18</v>
      </c>
      <c r="Q307" s="14">
        <f>PMT($Y$63/12,$Y$66,-$Y$62)</f>
        <v>19016.883865887721</v>
      </c>
      <c r="R307" s="4">
        <v>400000</v>
      </c>
      <c r="S307" s="2" t="s">
        <v>12</v>
      </c>
    </row>
    <row r="308" spans="1:19" x14ac:dyDescent="0.3">
      <c r="A308" s="4">
        <v>307</v>
      </c>
      <c r="B308" s="4" t="s">
        <v>327</v>
      </c>
      <c r="C308" s="4" t="s">
        <v>38</v>
      </c>
      <c r="D308" s="4" t="s">
        <v>12</v>
      </c>
      <c r="E308" s="4" t="s">
        <v>13</v>
      </c>
      <c r="F308" s="4" t="s">
        <v>12</v>
      </c>
      <c r="G308" s="4">
        <v>150000</v>
      </c>
      <c r="H308" s="4">
        <v>0</v>
      </c>
      <c r="I308" s="13">
        <v>1500000</v>
      </c>
      <c r="J308" s="4">
        <v>60</v>
      </c>
      <c r="K308" s="4">
        <v>1</v>
      </c>
      <c r="L308" s="4" t="s">
        <v>18</v>
      </c>
      <c r="M308" s="4" t="s">
        <v>15</v>
      </c>
      <c r="N308" s="4" t="s">
        <v>623</v>
      </c>
      <c r="O308" s="4" t="s">
        <v>625</v>
      </c>
      <c r="P308" s="5">
        <v>0.18</v>
      </c>
      <c r="Q308" s="14">
        <f>PMT($V$9/12,$V$12,-$V$8)</f>
        <v>38090.141140663625</v>
      </c>
      <c r="R308" s="4">
        <v>900000</v>
      </c>
      <c r="S308" s="2" t="s">
        <v>17</v>
      </c>
    </row>
    <row r="309" spans="1:19" x14ac:dyDescent="0.3">
      <c r="A309" s="4">
        <v>308</v>
      </c>
      <c r="B309" s="4" t="s">
        <v>328</v>
      </c>
      <c r="C309" s="4" t="s">
        <v>11</v>
      </c>
      <c r="D309" s="4" t="s">
        <v>17</v>
      </c>
      <c r="E309" s="4" t="s">
        <v>13</v>
      </c>
      <c r="F309" s="4" t="s">
        <v>17</v>
      </c>
      <c r="G309" s="4">
        <v>50000</v>
      </c>
      <c r="H309" s="4">
        <v>0</v>
      </c>
      <c r="I309" s="13">
        <v>1000000</v>
      </c>
      <c r="J309" s="4">
        <v>60</v>
      </c>
      <c r="K309" s="4">
        <v>0</v>
      </c>
      <c r="L309" s="4" t="s">
        <v>18</v>
      </c>
      <c r="M309" s="4" t="s">
        <v>15</v>
      </c>
      <c r="N309" s="4" t="s">
        <v>623</v>
      </c>
      <c r="O309" s="4" t="s">
        <v>625</v>
      </c>
      <c r="P309" s="5">
        <v>0.18</v>
      </c>
      <c r="Q309" s="14">
        <f>PMT($V$3/12,$V$6,-$V$2)</f>
        <v>25393.427427109084</v>
      </c>
      <c r="R309" s="4">
        <v>400000</v>
      </c>
      <c r="S309" s="2" t="s">
        <v>12</v>
      </c>
    </row>
    <row r="310" spans="1:19" x14ac:dyDescent="0.3">
      <c r="A310" s="4">
        <v>309</v>
      </c>
      <c r="B310" s="4" t="s">
        <v>329</v>
      </c>
      <c r="C310" s="4" t="s">
        <v>11</v>
      </c>
      <c r="D310" s="4" t="s">
        <v>17</v>
      </c>
      <c r="E310" s="4" t="s">
        <v>22</v>
      </c>
      <c r="F310" s="4" t="s">
        <v>12</v>
      </c>
      <c r="G310" s="4">
        <v>100000</v>
      </c>
      <c r="H310" s="4">
        <v>35000</v>
      </c>
      <c r="I310" s="13">
        <v>1500000</v>
      </c>
      <c r="J310" s="4">
        <v>60</v>
      </c>
      <c r="K310" s="4">
        <v>1</v>
      </c>
      <c r="L310" s="4" t="s">
        <v>14</v>
      </c>
      <c r="M310" s="4" t="s">
        <v>15</v>
      </c>
      <c r="N310" s="4" t="s">
        <v>623</v>
      </c>
      <c r="O310" s="4" t="s">
        <v>625</v>
      </c>
      <c r="P310" s="5">
        <v>0.18</v>
      </c>
      <c r="Q310" s="14">
        <f t="shared" ref="Q310:Q311" si="27">PMT($V$9/12,$V$12,-$V$8)</f>
        <v>38090.141140663625</v>
      </c>
      <c r="R310" s="4">
        <v>1000000</v>
      </c>
      <c r="S310" s="2" t="s">
        <v>12</v>
      </c>
    </row>
    <row r="311" spans="1:19" x14ac:dyDescent="0.3">
      <c r="A311" s="4">
        <v>310</v>
      </c>
      <c r="B311" s="4" t="s">
        <v>330</v>
      </c>
      <c r="C311" s="4" t="s">
        <v>11</v>
      </c>
      <c r="D311" s="4" t="s">
        <v>17</v>
      </c>
      <c r="E311" s="4" t="s">
        <v>13</v>
      </c>
      <c r="F311" s="4" t="s">
        <v>12</v>
      </c>
      <c r="G311" s="4">
        <v>80000</v>
      </c>
      <c r="H311" s="4">
        <v>0</v>
      </c>
      <c r="I311" s="13">
        <v>1500000</v>
      </c>
      <c r="J311" s="4">
        <v>60</v>
      </c>
      <c r="K311" s="4">
        <v>1</v>
      </c>
      <c r="L311" s="4" t="s">
        <v>27</v>
      </c>
      <c r="M311" s="4" t="s">
        <v>15</v>
      </c>
      <c r="N311" s="4" t="s">
        <v>623</v>
      </c>
      <c r="O311" s="4" t="s">
        <v>625</v>
      </c>
      <c r="P311" s="5">
        <v>0.18</v>
      </c>
      <c r="Q311" s="14">
        <f t="shared" si="27"/>
        <v>38090.141140663625</v>
      </c>
      <c r="R311" s="4">
        <v>675000</v>
      </c>
      <c r="S311" s="2" t="s">
        <v>12</v>
      </c>
    </row>
    <row r="312" spans="1:19" x14ac:dyDescent="0.3">
      <c r="A312" s="4">
        <v>311</v>
      </c>
      <c r="B312" s="4" t="s">
        <v>331</v>
      </c>
      <c r="C312" s="4" t="s">
        <v>11</v>
      </c>
      <c r="D312" s="4" t="s">
        <v>17</v>
      </c>
      <c r="E312" s="4" t="s">
        <v>13</v>
      </c>
      <c r="F312" s="4" t="s">
        <v>12</v>
      </c>
      <c r="G312" s="4">
        <v>50000</v>
      </c>
      <c r="H312" s="4">
        <v>0</v>
      </c>
      <c r="I312" s="13">
        <v>500000</v>
      </c>
      <c r="J312" s="4">
        <v>60</v>
      </c>
      <c r="K312" s="4">
        <v>0</v>
      </c>
      <c r="L312" s="4" t="s">
        <v>14</v>
      </c>
      <c r="M312" s="4" t="s">
        <v>15</v>
      </c>
      <c r="N312" s="4" t="s">
        <v>623</v>
      </c>
      <c r="O312" s="4" t="s">
        <v>625</v>
      </c>
      <c r="P312" s="5">
        <v>0.18</v>
      </c>
      <c r="Q312" s="14">
        <f>PMT($V$15/12,$V$18,-$V$14)</f>
        <v>12696.713713554542</v>
      </c>
      <c r="R312" s="4">
        <v>455000</v>
      </c>
      <c r="S312" s="2" t="s">
        <v>12</v>
      </c>
    </row>
    <row r="313" spans="1:19" x14ac:dyDescent="0.3">
      <c r="A313" s="4">
        <v>312</v>
      </c>
      <c r="B313" s="4" t="s">
        <v>332</v>
      </c>
      <c r="C313" s="4" t="s">
        <v>38</v>
      </c>
      <c r="D313" s="4" t="s">
        <v>12</v>
      </c>
      <c r="E313" s="4" t="s">
        <v>13</v>
      </c>
      <c r="F313" s="4" t="s">
        <v>12</v>
      </c>
      <c r="G313" s="4">
        <v>45000</v>
      </c>
      <c r="H313" s="4">
        <v>44000</v>
      </c>
      <c r="I313" s="13">
        <v>840000</v>
      </c>
      <c r="J313" s="4">
        <v>60</v>
      </c>
      <c r="K313" s="4">
        <v>0</v>
      </c>
      <c r="L313" s="4" t="s">
        <v>27</v>
      </c>
      <c r="M313" s="4" t="s">
        <v>15</v>
      </c>
      <c r="N313" s="4" t="s">
        <v>623</v>
      </c>
      <c r="O313" s="4" t="s">
        <v>625</v>
      </c>
      <c r="P313" s="5">
        <v>0.18</v>
      </c>
      <c r="Q313" s="14">
        <f>PMT($AB$27/12,$AB$30,-$AB$26)</f>
        <v>21330.479038771631</v>
      </c>
      <c r="R313" s="4">
        <v>400000</v>
      </c>
      <c r="S313" s="2" t="s">
        <v>12</v>
      </c>
    </row>
    <row r="314" spans="1:19" x14ac:dyDescent="0.3">
      <c r="A314" s="4">
        <v>313</v>
      </c>
      <c r="B314" s="4" t="s">
        <v>333</v>
      </c>
      <c r="C314" s="4" t="s">
        <v>11</v>
      </c>
      <c r="D314" s="4" t="s">
        <v>17</v>
      </c>
      <c r="E314" s="4" t="s">
        <v>13</v>
      </c>
      <c r="F314" s="4" t="s">
        <v>17</v>
      </c>
      <c r="G314" s="4">
        <v>54000</v>
      </c>
      <c r="H314" s="4">
        <v>0</v>
      </c>
      <c r="I314" s="13">
        <v>550000</v>
      </c>
      <c r="J314" s="4">
        <v>60</v>
      </c>
      <c r="K314" s="4">
        <v>1</v>
      </c>
      <c r="L314" s="4" t="s">
        <v>18</v>
      </c>
      <c r="M314" s="4" t="s">
        <v>19</v>
      </c>
      <c r="N314" s="4" t="s">
        <v>623</v>
      </c>
      <c r="O314" s="4" t="s">
        <v>625</v>
      </c>
      <c r="P314" s="5">
        <v>0.18</v>
      </c>
      <c r="Q314" s="14">
        <f>PMT($AB$33/12,$AB$36,-$AB$32)</f>
        <v>13966.385084909996</v>
      </c>
      <c r="R314" s="4">
        <v>453000</v>
      </c>
      <c r="S314" s="2" t="s">
        <v>12</v>
      </c>
    </row>
    <row r="315" spans="1:19" x14ac:dyDescent="0.3">
      <c r="A315" s="4">
        <v>314</v>
      </c>
      <c r="B315" s="4" t="s">
        <v>334</v>
      </c>
      <c r="C315" s="4" t="s">
        <v>11</v>
      </c>
      <c r="D315" s="4" t="s">
        <v>17</v>
      </c>
      <c r="E315" s="4" t="s">
        <v>13</v>
      </c>
      <c r="F315" s="4" t="s">
        <v>12</v>
      </c>
      <c r="G315" s="4">
        <v>87000</v>
      </c>
      <c r="H315" s="4">
        <v>0</v>
      </c>
      <c r="I315" s="13">
        <v>1000000</v>
      </c>
      <c r="J315" s="4">
        <v>60</v>
      </c>
      <c r="K315" s="4">
        <v>1</v>
      </c>
      <c r="L315" s="4" t="s">
        <v>27</v>
      </c>
      <c r="M315" s="4" t="s">
        <v>15</v>
      </c>
      <c r="N315" s="4" t="s">
        <v>623</v>
      </c>
      <c r="O315" s="4" t="s">
        <v>625</v>
      </c>
      <c r="P315" s="5">
        <v>0.18</v>
      </c>
      <c r="Q315" s="14">
        <f>PMT($V$3/12,$V$6,-$V$2)</f>
        <v>25393.427427109084</v>
      </c>
      <c r="R315" s="4">
        <v>700000</v>
      </c>
      <c r="S315" s="2" t="s">
        <v>12</v>
      </c>
    </row>
    <row r="316" spans="1:19" x14ac:dyDescent="0.3">
      <c r="A316" s="4">
        <v>315</v>
      </c>
      <c r="B316" s="4" t="s">
        <v>335</v>
      </c>
      <c r="C316" s="4" t="s">
        <v>11</v>
      </c>
      <c r="D316" s="4" t="s">
        <v>17</v>
      </c>
      <c r="E316" s="4" t="s">
        <v>13</v>
      </c>
      <c r="F316" s="4" t="s">
        <v>12</v>
      </c>
      <c r="G316" s="4">
        <v>24601</v>
      </c>
      <c r="H316" s="4">
        <v>0</v>
      </c>
      <c r="I316" s="13">
        <v>423601</v>
      </c>
      <c r="J316" s="4">
        <v>60</v>
      </c>
      <c r="K316" s="4">
        <v>1</v>
      </c>
      <c r="L316" s="4" t="s">
        <v>27</v>
      </c>
      <c r="M316" s="4" t="s">
        <v>15</v>
      </c>
      <c r="N316" s="4" t="s">
        <v>623</v>
      </c>
      <c r="O316" s="4" t="s">
        <v>625</v>
      </c>
      <c r="P316" s="5">
        <v>0.18</v>
      </c>
      <c r="Q316" s="14">
        <f>PMT($AB$39/12,$AB$42,-$AB$38)</f>
        <v>10756.681251550835</v>
      </c>
      <c r="R316" s="4" t="s">
        <v>635</v>
      </c>
      <c r="S316" s="2" t="s">
        <v>17</v>
      </c>
    </row>
    <row r="317" spans="1:19" x14ac:dyDescent="0.3">
      <c r="A317" s="4">
        <v>316</v>
      </c>
      <c r="B317" s="4" t="s">
        <v>336</v>
      </c>
      <c r="C317" s="4" t="s">
        <v>11</v>
      </c>
      <c r="D317" s="4" t="s">
        <v>17</v>
      </c>
      <c r="E317" s="4" t="s">
        <v>22</v>
      </c>
      <c r="F317" s="4" t="s">
        <v>12</v>
      </c>
      <c r="G317" s="4">
        <v>75000</v>
      </c>
      <c r="H317" s="4">
        <v>0</v>
      </c>
      <c r="I317" s="13">
        <v>358000</v>
      </c>
      <c r="J317" s="4">
        <v>60</v>
      </c>
      <c r="K317" s="4">
        <v>1</v>
      </c>
      <c r="L317" s="4" t="s">
        <v>18</v>
      </c>
      <c r="M317" s="4" t="s">
        <v>15</v>
      </c>
      <c r="N317" s="4" t="s">
        <v>623</v>
      </c>
      <c r="O317" s="4" t="s">
        <v>625</v>
      </c>
      <c r="P317" s="5">
        <v>0.18</v>
      </c>
      <c r="Q317" s="14">
        <f>PMT($AB$45/12,$AB$48,-$AB$44)</f>
        <v>9090.8470189050531</v>
      </c>
      <c r="R317" s="4">
        <v>654000</v>
      </c>
      <c r="S317" s="2" t="s">
        <v>12</v>
      </c>
    </row>
    <row r="318" spans="1:19" x14ac:dyDescent="0.3">
      <c r="A318" s="4">
        <v>317</v>
      </c>
      <c r="B318" s="4" t="s">
        <v>337</v>
      </c>
      <c r="C318" s="4" t="s">
        <v>38</v>
      </c>
      <c r="D318" s="4" t="s">
        <v>12</v>
      </c>
      <c r="E318" s="4" t="s">
        <v>13</v>
      </c>
      <c r="F318" s="4" t="s">
        <v>12</v>
      </c>
      <c r="G318" s="4">
        <v>69700</v>
      </c>
      <c r="H318" s="4">
        <v>0</v>
      </c>
      <c r="I318" s="13">
        <v>587000</v>
      </c>
      <c r="J318" s="4">
        <v>60</v>
      </c>
      <c r="K318" s="4">
        <v>0</v>
      </c>
      <c r="L318" s="4" t="s">
        <v>18</v>
      </c>
      <c r="M318" s="4" t="s">
        <v>15</v>
      </c>
      <c r="N318" s="4" t="s">
        <v>623</v>
      </c>
      <c r="O318" s="4" t="s">
        <v>625</v>
      </c>
      <c r="P318" s="5">
        <v>0.18</v>
      </c>
      <c r="Q318" s="14">
        <f>PMT($AB$51/12,$AB$54,-$AB$50)</f>
        <v>14905.941899713032</v>
      </c>
      <c r="R318" s="4">
        <v>542000</v>
      </c>
      <c r="S318" s="2" t="s">
        <v>12</v>
      </c>
    </row>
    <row r="319" spans="1:19" x14ac:dyDescent="0.3">
      <c r="A319" s="4">
        <v>318</v>
      </c>
      <c r="B319" s="4" t="s">
        <v>338</v>
      </c>
      <c r="C319" s="4" t="s">
        <v>11</v>
      </c>
      <c r="D319" s="4" t="s">
        <v>17</v>
      </c>
      <c r="E319" s="4" t="s">
        <v>13</v>
      </c>
      <c r="F319" s="4" t="s">
        <v>12</v>
      </c>
      <c r="G319" s="4">
        <v>52400</v>
      </c>
      <c r="H319" s="4">
        <v>48733</v>
      </c>
      <c r="I319" s="13">
        <v>789000</v>
      </c>
      <c r="J319" s="4">
        <v>60</v>
      </c>
      <c r="K319" s="4">
        <v>1</v>
      </c>
      <c r="L319" s="4" t="s">
        <v>18</v>
      </c>
      <c r="M319" s="4" t="s">
        <v>15</v>
      </c>
      <c r="N319" s="4" t="s">
        <v>623</v>
      </c>
      <c r="O319" s="4" t="s">
        <v>625</v>
      </c>
      <c r="P319" s="5">
        <v>0.18</v>
      </c>
      <c r="Q319" s="14">
        <f>PMT($V$45/12,$V$48,-$V$44)</f>
        <v>20035.414239989066</v>
      </c>
      <c r="R319" s="4">
        <v>600000</v>
      </c>
      <c r="S319" s="2" t="s">
        <v>17</v>
      </c>
    </row>
    <row r="320" spans="1:19" x14ac:dyDescent="0.3">
      <c r="A320" s="4">
        <v>319</v>
      </c>
      <c r="B320" s="4" t="s">
        <v>339</v>
      </c>
      <c r="C320" s="4" t="s">
        <v>11</v>
      </c>
      <c r="D320" s="4" t="s">
        <v>17</v>
      </c>
      <c r="E320" s="4" t="s">
        <v>13</v>
      </c>
      <c r="F320" s="4" t="s">
        <v>17</v>
      </c>
      <c r="G320" s="4">
        <v>47860</v>
      </c>
      <c r="H320" s="4">
        <v>24970</v>
      </c>
      <c r="I320" s="13">
        <v>975000</v>
      </c>
      <c r="J320" s="4">
        <v>60</v>
      </c>
      <c r="K320" s="4">
        <v>0</v>
      </c>
      <c r="L320" s="4" t="s">
        <v>18</v>
      </c>
      <c r="M320" s="4" t="s">
        <v>19</v>
      </c>
      <c r="N320" s="4" t="s">
        <v>623</v>
      </c>
      <c r="O320" s="4" t="s">
        <v>625</v>
      </c>
      <c r="P320" s="5">
        <v>0.18</v>
      </c>
      <c r="Q320" s="14">
        <f>PMT($Y$45/12,$Y$48,-$Y$44)</f>
        <v>24758.591741431355</v>
      </c>
      <c r="R320" s="4">
        <v>580000</v>
      </c>
      <c r="S320" s="2" t="s">
        <v>17</v>
      </c>
    </row>
    <row r="321" spans="1:19" x14ac:dyDescent="0.3">
      <c r="A321" s="4">
        <v>320</v>
      </c>
      <c r="B321" s="4" t="s">
        <v>340</v>
      </c>
      <c r="C321" s="4" t="s">
        <v>11</v>
      </c>
      <c r="D321" s="4" t="s">
        <v>12</v>
      </c>
      <c r="E321" s="4" t="s">
        <v>13</v>
      </c>
      <c r="F321" s="4" t="s">
        <v>12</v>
      </c>
      <c r="G321" s="4">
        <v>56980</v>
      </c>
      <c r="H321" s="4">
        <v>25600</v>
      </c>
      <c r="I321" s="13">
        <v>849300</v>
      </c>
      <c r="J321" s="4">
        <v>60</v>
      </c>
      <c r="K321" s="4">
        <v>0</v>
      </c>
      <c r="L321" s="4" t="s">
        <v>18</v>
      </c>
      <c r="M321" s="4" t="s">
        <v>15</v>
      </c>
      <c r="N321" s="4" t="s">
        <v>623</v>
      </c>
      <c r="O321" s="4" t="s">
        <v>625</v>
      </c>
      <c r="P321" s="5">
        <v>0.18</v>
      </c>
      <c r="Q321" s="14">
        <f>PMT($V$51/12,$V$54,-$V$50)</f>
        <v>21566.637913843744</v>
      </c>
      <c r="R321" s="4">
        <v>520000</v>
      </c>
      <c r="S321" s="2" t="s">
        <v>12</v>
      </c>
    </row>
    <row r="322" spans="1:19" x14ac:dyDescent="0.3">
      <c r="A322" s="4">
        <v>321</v>
      </c>
      <c r="B322" s="4" t="s">
        <v>341</v>
      </c>
      <c r="C322" s="4" t="s">
        <v>11</v>
      </c>
      <c r="D322" s="4" t="s">
        <v>17</v>
      </c>
      <c r="E322" s="4" t="s">
        <v>13</v>
      </c>
      <c r="F322" s="4" t="s">
        <v>17</v>
      </c>
      <c r="G322" s="4">
        <v>49800</v>
      </c>
      <c r="H322" s="4">
        <v>0</v>
      </c>
      <c r="I322" s="13">
        <v>487500</v>
      </c>
      <c r="J322" s="4">
        <v>60</v>
      </c>
      <c r="K322" s="4">
        <v>1</v>
      </c>
      <c r="L322" s="4" t="s">
        <v>27</v>
      </c>
      <c r="M322" s="4" t="s">
        <v>15</v>
      </c>
      <c r="N322" s="4" t="s">
        <v>623</v>
      </c>
      <c r="O322" s="4" t="s">
        <v>625</v>
      </c>
      <c r="P322" s="5">
        <v>0.18</v>
      </c>
      <c r="Q322" s="14">
        <f>PMT($Y$51/12,$Y$54,-$Y$50)</f>
        <v>12379.295870715678</v>
      </c>
      <c r="R322" s="4">
        <v>410000</v>
      </c>
      <c r="S322" s="2" t="s">
        <v>17</v>
      </c>
    </row>
    <row r="323" spans="1:19" x14ac:dyDescent="0.3">
      <c r="A323" s="4">
        <v>322</v>
      </c>
      <c r="B323" s="4" t="s">
        <v>342</v>
      </c>
      <c r="C323" s="4" t="s">
        <v>38</v>
      </c>
      <c r="D323" s="4" t="s">
        <v>17</v>
      </c>
      <c r="E323" s="4" t="s">
        <v>13</v>
      </c>
      <c r="F323" s="4" t="s">
        <v>12</v>
      </c>
      <c r="G323" s="4">
        <v>58799</v>
      </c>
      <c r="H323" s="4">
        <v>26870</v>
      </c>
      <c r="I323" s="13">
        <v>875644</v>
      </c>
      <c r="J323" s="4">
        <v>60</v>
      </c>
      <c r="K323" s="4">
        <v>1</v>
      </c>
      <c r="L323" s="4" t="s">
        <v>14</v>
      </c>
      <c r="M323" s="4" t="s">
        <v>19</v>
      </c>
      <c r="N323" s="4" t="s">
        <v>623</v>
      </c>
      <c r="O323" s="4" t="s">
        <v>625</v>
      </c>
      <c r="P323" s="5">
        <v>0.18</v>
      </c>
      <c r="Q323" s="14">
        <f>PMT($V$57/12,$V$60,-$V$56)</f>
        <v>22235.602365983505</v>
      </c>
      <c r="R323" s="4">
        <v>755000</v>
      </c>
      <c r="S323" s="2" t="s">
        <v>12</v>
      </c>
    </row>
    <row r="324" spans="1:19" x14ac:dyDescent="0.3">
      <c r="A324" s="4">
        <v>323</v>
      </c>
      <c r="B324" s="4" t="s">
        <v>343</v>
      </c>
      <c r="C324" s="4" t="s">
        <v>38</v>
      </c>
      <c r="D324" s="4" t="s">
        <v>12</v>
      </c>
      <c r="E324" s="4" t="s">
        <v>13</v>
      </c>
      <c r="F324" s="4" t="s">
        <v>12</v>
      </c>
      <c r="G324" s="4">
        <v>48799</v>
      </c>
      <c r="H324" s="4">
        <v>34690</v>
      </c>
      <c r="I324" s="13">
        <v>654420</v>
      </c>
      <c r="J324" s="4">
        <v>60</v>
      </c>
      <c r="K324" s="4">
        <v>1</v>
      </c>
      <c r="L324" s="4" t="s">
        <v>14</v>
      </c>
      <c r="M324" s="4" t="s">
        <v>15</v>
      </c>
      <c r="N324" s="4" t="s">
        <v>623</v>
      </c>
      <c r="O324" s="4" t="s">
        <v>625</v>
      </c>
      <c r="P324" s="5">
        <v>0.18</v>
      </c>
      <c r="Q324" s="14">
        <f>PMT($Y$57/12,$Y$60,-$Y$56)</f>
        <v>16617.966776848727</v>
      </c>
      <c r="R324" s="4">
        <v>585000</v>
      </c>
      <c r="S324" s="2" t="s">
        <v>12</v>
      </c>
    </row>
    <row r="325" spans="1:19" x14ac:dyDescent="0.3">
      <c r="A325" s="4">
        <v>324</v>
      </c>
      <c r="B325" s="4" t="s">
        <v>344</v>
      </c>
      <c r="C325" s="4" t="s">
        <v>11</v>
      </c>
      <c r="D325" s="4" t="s">
        <v>12</v>
      </c>
      <c r="E325" s="4" t="s">
        <v>13</v>
      </c>
      <c r="F325" s="4" t="s">
        <v>12</v>
      </c>
      <c r="G325" s="4">
        <v>35000</v>
      </c>
      <c r="H325" s="4">
        <v>48700</v>
      </c>
      <c r="I325" s="13">
        <v>800000</v>
      </c>
      <c r="J325" s="4">
        <v>60</v>
      </c>
      <c r="K325" s="4">
        <v>1</v>
      </c>
      <c r="L325" s="4" t="s">
        <v>14</v>
      </c>
      <c r="M325" s="4" t="s">
        <v>15</v>
      </c>
      <c r="N325" s="4" t="s">
        <v>623</v>
      </c>
      <c r="O325" s="4" t="s">
        <v>625</v>
      </c>
      <c r="P325" s="5">
        <v>0.18</v>
      </c>
      <c r="Q325" s="14">
        <f>PMT($V$33/12,$V$36,-$V$32)</f>
        <v>20314.741941687265</v>
      </c>
      <c r="R325" s="4">
        <v>589000</v>
      </c>
      <c r="S325" s="2" t="s">
        <v>12</v>
      </c>
    </row>
    <row r="326" spans="1:19" x14ac:dyDescent="0.3">
      <c r="A326" s="4">
        <v>325</v>
      </c>
      <c r="B326" s="4" t="s">
        <v>345</v>
      </c>
      <c r="C326" s="4" t="s">
        <v>11</v>
      </c>
      <c r="D326" s="4" t="s">
        <v>12</v>
      </c>
      <c r="E326" s="4" t="s">
        <v>13</v>
      </c>
      <c r="F326" s="4" t="s">
        <v>12</v>
      </c>
      <c r="G326" s="4">
        <v>35000</v>
      </c>
      <c r="H326" s="4">
        <v>0</v>
      </c>
      <c r="I326" s="13">
        <v>620000</v>
      </c>
      <c r="J326" s="4">
        <v>60</v>
      </c>
      <c r="K326" s="4">
        <v>1</v>
      </c>
      <c r="L326" s="4" t="s">
        <v>27</v>
      </c>
      <c r="M326" s="4" t="s">
        <v>15</v>
      </c>
      <c r="N326" s="4" t="s">
        <v>623</v>
      </c>
      <c r="O326" s="4" t="s">
        <v>625</v>
      </c>
      <c r="P326" s="5">
        <v>0.18</v>
      </c>
      <c r="Q326" s="14">
        <f>PMT($AB$15/12,$AB$18,-$AB$14)</f>
        <v>15743.925004807632</v>
      </c>
      <c r="R326" s="4">
        <v>250000</v>
      </c>
      <c r="S326" s="2" t="s">
        <v>12</v>
      </c>
    </row>
    <row r="327" spans="1:19" x14ac:dyDescent="0.3">
      <c r="A327" s="4">
        <v>326</v>
      </c>
      <c r="B327" s="4" t="s">
        <v>346</v>
      </c>
      <c r="C327" s="4" t="s">
        <v>11</v>
      </c>
      <c r="D327" s="4" t="s">
        <v>12</v>
      </c>
      <c r="E327" s="4" t="s">
        <v>13</v>
      </c>
      <c r="F327" s="4" t="s">
        <v>12</v>
      </c>
      <c r="G327" s="4">
        <v>21654</v>
      </c>
      <c r="H327" s="4">
        <v>14620</v>
      </c>
      <c r="I327" s="13">
        <v>489300</v>
      </c>
      <c r="J327" s="4">
        <v>60</v>
      </c>
      <c r="K327" s="4">
        <v>1</v>
      </c>
      <c r="L327" s="4" t="s">
        <v>14</v>
      </c>
      <c r="M327" s="4" t="s">
        <v>15</v>
      </c>
      <c r="N327" s="4" t="s">
        <v>623</v>
      </c>
      <c r="O327" s="4" t="s">
        <v>625</v>
      </c>
      <c r="P327" s="5">
        <v>0.18</v>
      </c>
      <c r="Q327" s="14">
        <f>PMT($AB$57/12,$AB$60,-$AB$56)</f>
        <v>12425.004040084474</v>
      </c>
      <c r="R327" s="4">
        <v>250000</v>
      </c>
      <c r="S327" s="2" t="s">
        <v>12</v>
      </c>
    </row>
    <row r="328" spans="1:19" x14ac:dyDescent="0.3">
      <c r="A328" s="4">
        <v>327</v>
      </c>
      <c r="B328" s="4" t="s">
        <v>347</v>
      </c>
      <c r="C328" s="4" t="s">
        <v>11</v>
      </c>
      <c r="D328" s="4" t="s">
        <v>17</v>
      </c>
      <c r="E328" s="4" t="s">
        <v>13</v>
      </c>
      <c r="F328" s="4" t="s">
        <v>17</v>
      </c>
      <c r="G328" s="4">
        <v>25000</v>
      </c>
      <c r="H328" s="4">
        <v>0</v>
      </c>
      <c r="I328" s="13">
        <v>500000</v>
      </c>
      <c r="J328" s="4">
        <v>60</v>
      </c>
      <c r="K328" s="4">
        <v>1</v>
      </c>
      <c r="L328" s="4" t="s">
        <v>14</v>
      </c>
      <c r="M328" s="4" t="s">
        <v>15</v>
      </c>
      <c r="N328" s="4" t="s">
        <v>623</v>
      </c>
      <c r="O328" s="4" t="s">
        <v>625</v>
      </c>
      <c r="P328" s="5">
        <v>0.18</v>
      </c>
      <c r="Q328" s="14">
        <f>PMT($V$15/12,$V$18,-$V$14)</f>
        <v>12696.713713554542</v>
      </c>
      <c r="R328" s="4" t="s">
        <v>635</v>
      </c>
      <c r="S328" s="2" t="s">
        <v>12</v>
      </c>
    </row>
    <row r="329" spans="1:19" x14ac:dyDescent="0.3">
      <c r="A329" s="4">
        <v>328</v>
      </c>
      <c r="B329" s="4" t="s">
        <v>348</v>
      </c>
      <c r="C329" s="4" t="s">
        <v>11</v>
      </c>
      <c r="D329" s="4" t="s">
        <v>17</v>
      </c>
      <c r="E329" s="4" t="s">
        <v>13</v>
      </c>
      <c r="F329" s="4" t="s">
        <v>17</v>
      </c>
      <c r="G329" s="4">
        <v>35700</v>
      </c>
      <c r="H329" s="4">
        <v>0</v>
      </c>
      <c r="I329" s="13">
        <v>478000</v>
      </c>
      <c r="J329" s="4">
        <v>60</v>
      </c>
      <c r="K329" s="4">
        <v>1</v>
      </c>
      <c r="L329" s="4" t="s">
        <v>27</v>
      </c>
      <c r="M329" s="4" t="s">
        <v>15</v>
      </c>
      <c r="N329" s="4" t="s">
        <v>623</v>
      </c>
      <c r="O329" s="4" t="s">
        <v>625</v>
      </c>
      <c r="P329" s="5">
        <v>0.18</v>
      </c>
      <c r="Q329" s="14">
        <f>PMT($V$63/12,$V$66,-$V$62)</f>
        <v>12138.058310158141</v>
      </c>
      <c r="R329" s="4">
        <v>250000</v>
      </c>
      <c r="S329" s="2" t="s">
        <v>17</v>
      </c>
    </row>
    <row r="330" spans="1:19" x14ac:dyDescent="0.3">
      <c r="A330" s="4">
        <v>329</v>
      </c>
      <c r="B330" s="4" t="s">
        <v>349</v>
      </c>
      <c r="C330" s="4" t="s">
        <v>11</v>
      </c>
      <c r="D330" s="4" t="s">
        <v>17</v>
      </c>
      <c r="E330" s="4" t="s">
        <v>13</v>
      </c>
      <c r="F330" s="4" t="s">
        <v>17</v>
      </c>
      <c r="G330" s="4">
        <v>48550</v>
      </c>
      <c r="H330" s="4">
        <v>54800</v>
      </c>
      <c r="I330" s="13">
        <v>748890</v>
      </c>
      <c r="J330" s="4">
        <v>60</v>
      </c>
      <c r="K330" s="4">
        <v>1</v>
      </c>
      <c r="L330" s="4" t="s">
        <v>18</v>
      </c>
      <c r="M330" s="4" t="s">
        <v>15</v>
      </c>
      <c r="N330" s="4" t="s">
        <v>623</v>
      </c>
      <c r="O330" s="4" t="s">
        <v>625</v>
      </c>
      <c r="P330" s="5">
        <v>0.18</v>
      </c>
      <c r="Q330" s="14">
        <f>PMT($Y$63/12,$Y$66,-$Y$62)</f>
        <v>19016.883865887721</v>
      </c>
      <c r="R330" s="4">
        <v>430000</v>
      </c>
      <c r="S330" s="2" t="s">
        <v>12</v>
      </c>
    </row>
    <row r="331" spans="1:19" x14ac:dyDescent="0.3">
      <c r="A331" s="4">
        <v>330</v>
      </c>
      <c r="B331" s="4" t="s">
        <v>350</v>
      </c>
      <c r="C331" s="4" t="s">
        <v>11</v>
      </c>
      <c r="D331" s="4" t="s">
        <v>17</v>
      </c>
      <c r="E331" s="4" t="s">
        <v>13</v>
      </c>
      <c r="F331" s="4" t="s">
        <v>17</v>
      </c>
      <c r="G331" s="4">
        <v>150000</v>
      </c>
      <c r="H331" s="4">
        <v>0</v>
      </c>
      <c r="I331" s="13">
        <v>1500000</v>
      </c>
      <c r="J331" s="4">
        <v>60</v>
      </c>
      <c r="K331" s="4">
        <v>1</v>
      </c>
      <c r="L331" s="4" t="s">
        <v>18</v>
      </c>
      <c r="M331" s="4" t="s">
        <v>15</v>
      </c>
      <c r="N331" s="4" t="s">
        <v>623</v>
      </c>
      <c r="O331" s="4" t="s">
        <v>625</v>
      </c>
      <c r="P331" s="5">
        <v>0.18</v>
      </c>
      <c r="Q331" s="14">
        <f>PMT($V$9/12,$V$12,-$V$8)</f>
        <v>38090.141140663625</v>
      </c>
      <c r="R331" s="4">
        <v>900000</v>
      </c>
      <c r="S331" s="2" t="s">
        <v>12</v>
      </c>
    </row>
    <row r="332" spans="1:19" x14ac:dyDescent="0.3">
      <c r="A332" s="4">
        <v>331</v>
      </c>
      <c r="B332" s="4" t="s">
        <v>351</v>
      </c>
      <c r="C332" s="4" t="s">
        <v>38</v>
      </c>
      <c r="D332" s="4" t="s">
        <v>12</v>
      </c>
      <c r="E332" s="4" t="s">
        <v>22</v>
      </c>
      <c r="F332" s="4" t="s">
        <v>12</v>
      </c>
      <c r="G332" s="4">
        <v>50000</v>
      </c>
      <c r="H332" s="4">
        <v>0</v>
      </c>
      <c r="I332" s="13">
        <v>1000000</v>
      </c>
      <c r="J332" s="4">
        <v>60</v>
      </c>
      <c r="K332" s="4">
        <v>0</v>
      </c>
      <c r="L332" s="4" t="s">
        <v>14</v>
      </c>
      <c r="M332" s="4" t="s">
        <v>19</v>
      </c>
      <c r="N332" s="4" t="s">
        <v>623</v>
      </c>
      <c r="O332" s="4" t="s">
        <v>625</v>
      </c>
      <c r="P332" s="5">
        <v>0.18</v>
      </c>
      <c r="Q332" s="14">
        <f>PMT($V$3/12,$V$6,-$V$2)</f>
        <v>25393.427427109084</v>
      </c>
      <c r="R332" s="4">
        <v>456000</v>
      </c>
      <c r="S332" s="2" t="s">
        <v>12</v>
      </c>
    </row>
    <row r="333" spans="1:19" x14ac:dyDescent="0.3">
      <c r="A333" s="4">
        <v>332</v>
      </c>
      <c r="B333" s="4" t="s">
        <v>352</v>
      </c>
      <c r="C333" s="4" t="s">
        <v>38</v>
      </c>
      <c r="D333" s="4" t="s">
        <v>12</v>
      </c>
      <c r="E333" s="4" t="s">
        <v>13</v>
      </c>
      <c r="F333" s="4" t="s">
        <v>12</v>
      </c>
      <c r="G333" s="4">
        <v>100000</v>
      </c>
      <c r="H333" s="4">
        <v>35000</v>
      </c>
      <c r="I333" s="13">
        <v>1500000</v>
      </c>
      <c r="J333" s="4">
        <v>60</v>
      </c>
      <c r="K333" s="4">
        <v>1</v>
      </c>
      <c r="L333" s="4" t="s">
        <v>27</v>
      </c>
      <c r="M333" s="4" t="s">
        <v>15</v>
      </c>
      <c r="N333" s="4" t="s">
        <v>623</v>
      </c>
      <c r="O333" s="4" t="s">
        <v>625</v>
      </c>
      <c r="P333" s="5">
        <v>0.18</v>
      </c>
      <c r="Q333" s="14">
        <f t="shared" ref="Q333:Q334" si="28">PMT($V$9/12,$V$12,-$V$8)</f>
        <v>38090.141140663625</v>
      </c>
      <c r="R333" s="4">
        <v>1000000</v>
      </c>
      <c r="S333" s="2" t="s">
        <v>12</v>
      </c>
    </row>
    <row r="334" spans="1:19" x14ac:dyDescent="0.3">
      <c r="A334" s="4">
        <v>333</v>
      </c>
      <c r="B334" s="4" t="s">
        <v>353</v>
      </c>
      <c r="C334" s="4" t="s">
        <v>11</v>
      </c>
      <c r="D334" s="4" t="s">
        <v>17</v>
      </c>
      <c r="E334" s="4" t="s">
        <v>22</v>
      </c>
      <c r="F334" s="4" t="s">
        <v>12</v>
      </c>
      <c r="G334" s="4">
        <v>80000</v>
      </c>
      <c r="H334" s="4">
        <v>0</v>
      </c>
      <c r="I334" s="13">
        <v>1500000</v>
      </c>
      <c r="J334" s="4">
        <v>60</v>
      </c>
      <c r="K334" s="4">
        <v>1</v>
      </c>
      <c r="L334" s="4" t="s">
        <v>18</v>
      </c>
      <c r="M334" s="4" t="s">
        <v>19</v>
      </c>
      <c r="N334" s="4" t="s">
        <v>623</v>
      </c>
      <c r="O334" s="4" t="s">
        <v>625</v>
      </c>
      <c r="P334" s="5">
        <v>0.18</v>
      </c>
      <c r="Q334" s="14">
        <f t="shared" si="28"/>
        <v>38090.141140663625</v>
      </c>
      <c r="R334" s="4">
        <v>760000</v>
      </c>
      <c r="S334" s="2" t="s">
        <v>12</v>
      </c>
    </row>
    <row r="335" spans="1:19" x14ac:dyDescent="0.3">
      <c r="A335" s="4">
        <v>334</v>
      </c>
      <c r="B335" s="4" t="s">
        <v>354</v>
      </c>
      <c r="C335" s="4" t="s">
        <v>38</v>
      </c>
      <c r="D335" s="4" t="s">
        <v>12</v>
      </c>
      <c r="E335" s="4" t="s">
        <v>13</v>
      </c>
      <c r="F335" s="4" t="s">
        <v>12</v>
      </c>
      <c r="G335" s="4">
        <v>50000</v>
      </c>
      <c r="H335" s="4">
        <v>0</v>
      </c>
      <c r="I335" s="13">
        <v>500000</v>
      </c>
      <c r="J335" s="4">
        <v>60</v>
      </c>
      <c r="K335" s="4">
        <v>1</v>
      </c>
      <c r="L335" s="4" t="s">
        <v>18</v>
      </c>
      <c r="M335" s="4" t="s">
        <v>19</v>
      </c>
      <c r="N335" s="4" t="s">
        <v>623</v>
      </c>
      <c r="O335" s="4" t="s">
        <v>625</v>
      </c>
      <c r="P335" s="5">
        <v>0.18</v>
      </c>
      <c r="Q335" s="14">
        <f>PMT($V$15/12,$V$18,-$V$14)</f>
        <v>12696.713713554542</v>
      </c>
      <c r="R335" s="4">
        <v>482000</v>
      </c>
      <c r="S335" s="2" t="s">
        <v>17</v>
      </c>
    </row>
    <row r="336" spans="1:19" x14ac:dyDescent="0.3">
      <c r="A336" s="4">
        <v>335</v>
      </c>
      <c r="B336" s="4" t="s">
        <v>355</v>
      </c>
      <c r="C336" s="4" t="s">
        <v>11</v>
      </c>
      <c r="D336" s="4" t="s">
        <v>17</v>
      </c>
      <c r="E336" s="4" t="s">
        <v>22</v>
      </c>
      <c r="F336" s="4" t="s">
        <v>12</v>
      </c>
      <c r="G336" s="4">
        <v>200000</v>
      </c>
      <c r="H336" s="4">
        <v>50000</v>
      </c>
      <c r="I336" s="13">
        <v>3000000</v>
      </c>
      <c r="J336" s="4">
        <v>60</v>
      </c>
      <c r="K336" s="4">
        <v>1</v>
      </c>
      <c r="L336" s="4" t="s">
        <v>14</v>
      </c>
      <c r="M336" s="4" t="s">
        <v>15</v>
      </c>
      <c r="N336" s="4" t="s">
        <v>623</v>
      </c>
      <c r="O336" s="4" t="s">
        <v>625</v>
      </c>
      <c r="P336" s="5">
        <v>0.18</v>
      </c>
      <c r="Q336" s="14">
        <f>PMT($Y$81/12,$Y$84,-$Y$80)</f>
        <v>76180.282281327251</v>
      </c>
      <c r="R336" s="4">
        <v>1500000</v>
      </c>
      <c r="S336" s="2" t="s">
        <v>17</v>
      </c>
    </row>
    <row r="337" spans="1:19" x14ac:dyDescent="0.3">
      <c r="A337" s="4">
        <v>336</v>
      </c>
      <c r="B337" s="4" t="s">
        <v>356</v>
      </c>
      <c r="C337" s="4" t="s">
        <v>11</v>
      </c>
      <c r="D337" s="4" t="s">
        <v>17</v>
      </c>
      <c r="E337" s="4" t="s">
        <v>22</v>
      </c>
      <c r="F337" s="4" t="s">
        <v>12</v>
      </c>
      <c r="G337" s="4">
        <v>75000</v>
      </c>
      <c r="H337" s="4">
        <v>25000</v>
      </c>
      <c r="I337" s="13">
        <v>1000000</v>
      </c>
      <c r="J337" s="4">
        <v>60</v>
      </c>
      <c r="K337" s="4">
        <v>1</v>
      </c>
      <c r="L337" s="4" t="s">
        <v>27</v>
      </c>
      <c r="M337" s="4" t="s">
        <v>15</v>
      </c>
      <c r="N337" s="4" t="s">
        <v>623</v>
      </c>
      <c r="O337" s="4" t="s">
        <v>625</v>
      </c>
      <c r="P337" s="5">
        <v>0.18</v>
      </c>
      <c r="Q337" s="14">
        <f>PMT($V$3/12,$V$6,-$V$2)</f>
        <v>25393.427427109084</v>
      </c>
      <c r="R337" s="4">
        <v>864000</v>
      </c>
      <c r="S337" s="2" t="s">
        <v>17</v>
      </c>
    </row>
    <row r="338" spans="1:19" x14ac:dyDescent="0.3">
      <c r="A338" s="4">
        <v>337</v>
      </c>
      <c r="B338" s="4" t="s">
        <v>357</v>
      </c>
      <c r="C338" s="4" t="s">
        <v>11</v>
      </c>
      <c r="D338" s="4" t="s">
        <v>17</v>
      </c>
      <c r="E338" s="4" t="s">
        <v>13</v>
      </c>
      <c r="F338" s="4" t="s">
        <v>17</v>
      </c>
      <c r="G338" s="4">
        <v>50000</v>
      </c>
      <c r="H338" s="4">
        <v>35000</v>
      </c>
      <c r="I338" s="13">
        <v>1500000</v>
      </c>
      <c r="J338" s="4">
        <v>60</v>
      </c>
      <c r="K338" s="4">
        <v>1</v>
      </c>
      <c r="L338" s="4" t="s">
        <v>18</v>
      </c>
      <c r="M338" s="4" t="s">
        <v>15</v>
      </c>
      <c r="N338" s="4" t="s">
        <v>623</v>
      </c>
      <c r="O338" s="4" t="s">
        <v>625</v>
      </c>
      <c r="P338" s="5">
        <v>0.18</v>
      </c>
      <c r="Q338" s="14">
        <f>PMT($V$9/12,$V$12,-$V$8)</f>
        <v>38090.141140663625</v>
      </c>
      <c r="R338" s="4">
        <v>800000</v>
      </c>
      <c r="S338" s="2" t="s">
        <v>17</v>
      </c>
    </row>
    <row r="339" spans="1:19" x14ac:dyDescent="0.3">
      <c r="A339" s="4">
        <v>338</v>
      </c>
      <c r="B339" s="4" t="s">
        <v>358</v>
      </c>
      <c r="C339" s="4" t="s">
        <v>11</v>
      </c>
      <c r="D339" s="4" t="s">
        <v>17</v>
      </c>
      <c r="E339" s="4" t="s">
        <v>13</v>
      </c>
      <c r="F339" s="4" t="s">
        <v>12</v>
      </c>
      <c r="G339" s="4">
        <v>85000</v>
      </c>
      <c r="H339" s="4">
        <v>0</v>
      </c>
      <c r="I339" s="13">
        <v>1000000</v>
      </c>
      <c r="J339" s="4">
        <v>60</v>
      </c>
      <c r="K339" s="4">
        <v>1</v>
      </c>
      <c r="L339" s="4" t="s">
        <v>27</v>
      </c>
      <c r="M339" s="4" t="s">
        <v>15</v>
      </c>
      <c r="N339" s="4" t="s">
        <v>623</v>
      </c>
      <c r="O339" s="4" t="s">
        <v>625</v>
      </c>
      <c r="P339" s="5">
        <v>0.18</v>
      </c>
      <c r="Q339" s="14">
        <f>PMT($V$3/12,$V$6,-$V$2)</f>
        <v>25393.427427109084</v>
      </c>
      <c r="R339" s="4">
        <v>840000</v>
      </c>
      <c r="S339" s="2" t="s">
        <v>12</v>
      </c>
    </row>
    <row r="340" spans="1:19" x14ac:dyDescent="0.3">
      <c r="A340" s="4">
        <v>339</v>
      </c>
      <c r="B340" s="4" t="s">
        <v>359</v>
      </c>
      <c r="C340" s="4" t="s">
        <v>11</v>
      </c>
      <c r="D340" s="4" t="s">
        <v>17</v>
      </c>
      <c r="E340" s="4" t="s">
        <v>22</v>
      </c>
      <c r="F340" s="4" t="s">
        <v>12</v>
      </c>
      <c r="G340" s="4">
        <v>50000</v>
      </c>
      <c r="H340" s="4">
        <v>30000</v>
      </c>
      <c r="I340" s="13">
        <v>2000000</v>
      </c>
      <c r="J340" s="4">
        <v>60</v>
      </c>
      <c r="K340" s="4">
        <v>0</v>
      </c>
      <c r="L340" s="4" t="s">
        <v>18</v>
      </c>
      <c r="M340" s="4" t="s">
        <v>19</v>
      </c>
      <c r="N340" s="4" t="s">
        <v>623</v>
      </c>
      <c r="O340" s="4" t="s">
        <v>625</v>
      </c>
      <c r="P340" s="5">
        <v>0.18</v>
      </c>
      <c r="Q340" s="14">
        <f>PMT($V$27/12,$V$30,-$V$26)</f>
        <v>50786.854854218167</v>
      </c>
      <c r="R340" s="4">
        <v>620000</v>
      </c>
      <c r="S340" s="2" t="s">
        <v>12</v>
      </c>
    </row>
    <row r="341" spans="1:19" x14ac:dyDescent="0.3">
      <c r="A341" s="4">
        <v>340</v>
      </c>
      <c r="B341" s="4" t="s">
        <v>360</v>
      </c>
      <c r="C341" s="4" t="s">
        <v>11</v>
      </c>
      <c r="D341" s="4" t="s">
        <v>17</v>
      </c>
      <c r="E341" s="4" t="s">
        <v>22</v>
      </c>
      <c r="F341" s="4" t="s">
        <v>12</v>
      </c>
      <c r="G341" s="4">
        <v>65000</v>
      </c>
      <c r="H341" s="4">
        <v>20000</v>
      </c>
      <c r="I341" s="13">
        <v>800000</v>
      </c>
      <c r="J341" s="4">
        <v>60</v>
      </c>
      <c r="K341" s="4">
        <v>1</v>
      </c>
      <c r="L341" s="4" t="s">
        <v>14</v>
      </c>
      <c r="M341" s="4" t="s">
        <v>15</v>
      </c>
      <c r="N341" s="4" t="s">
        <v>623</v>
      </c>
      <c r="O341" s="4" t="s">
        <v>625</v>
      </c>
      <c r="P341" s="5">
        <v>0.18</v>
      </c>
      <c r="Q341" s="14">
        <f>PMT($V$33/12,$V$36,-$V$32)</f>
        <v>20314.741941687265</v>
      </c>
      <c r="R341" s="4">
        <v>650000</v>
      </c>
      <c r="S341" s="2" t="s">
        <v>17</v>
      </c>
    </row>
    <row r="342" spans="1:19" x14ac:dyDescent="0.3">
      <c r="A342" s="4">
        <v>341</v>
      </c>
      <c r="B342" s="4" t="s">
        <v>361</v>
      </c>
      <c r="C342" s="4" t="s">
        <v>11</v>
      </c>
      <c r="D342" s="4" t="s">
        <v>17</v>
      </c>
      <c r="E342" s="4" t="s">
        <v>13</v>
      </c>
      <c r="F342" s="4" t="s">
        <v>12</v>
      </c>
      <c r="G342" s="4">
        <v>55000</v>
      </c>
      <c r="H342" s="4">
        <v>25000</v>
      </c>
      <c r="I342" s="13">
        <v>1000000</v>
      </c>
      <c r="J342" s="4">
        <v>60</v>
      </c>
      <c r="K342" s="4">
        <v>0</v>
      </c>
      <c r="L342" s="4" t="s">
        <v>27</v>
      </c>
      <c r="M342" s="4" t="s">
        <v>15</v>
      </c>
      <c r="N342" s="4" t="s">
        <v>623</v>
      </c>
      <c r="O342" s="4" t="s">
        <v>625</v>
      </c>
      <c r="P342" s="5">
        <v>0.18</v>
      </c>
      <c r="Q342" s="14">
        <f t="shared" ref="Q342:Q343" si="29">PMT($V$3/12,$V$6,-$V$2)</f>
        <v>25393.427427109084</v>
      </c>
      <c r="R342" s="4">
        <v>552000</v>
      </c>
      <c r="S342" s="2" t="s">
        <v>12</v>
      </c>
    </row>
    <row r="343" spans="1:19" x14ac:dyDescent="0.3">
      <c r="A343" s="4">
        <v>342</v>
      </c>
      <c r="B343" s="4" t="s">
        <v>362</v>
      </c>
      <c r="C343" s="4" t="s">
        <v>11</v>
      </c>
      <c r="D343" s="4" t="s">
        <v>17</v>
      </c>
      <c r="E343" s="4" t="s">
        <v>13</v>
      </c>
      <c r="F343" s="4" t="s">
        <v>12</v>
      </c>
      <c r="G343" s="4">
        <v>50000</v>
      </c>
      <c r="H343" s="4">
        <v>0</v>
      </c>
      <c r="I343" s="13">
        <v>1000000</v>
      </c>
      <c r="J343" s="4">
        <v>60</v>
      </c>
      <c r="K343" s="4">
        <v>1</v>
      </c>
      <c r="L343" s="4" t="s">
        <v>18</v>
      </c>
      <c r="M343" s="4" t="s">
        <v>15</v>
      </c>
      <c r="N343" s="4" t="s">
        <v>623</v>
      </c>
      <c r="O343" s="4" t="s">
        <v>625</v>
      </c>
      <c r="P343" s="5">
        <v>0.18</v>
      </c>
      <c r="Q343" s="14">
        <f t="shared" si="29"/>
        <v>25393.427427109084</v>
      </c>
      <c r="R343" s="4">
        <v>540000</v>
      </c>
      <c r="S343" s="2" t="s">
        <v>12</v>
      </c>
    </row>
    <row r="344" spans="1:19" x14ac:dyDescent="0.3">
      <c r="A344" s="4">
        <v>343</v>
      </c>
      <c r="B344" s="4" t="s">
        <v>363</v>
      </c>
      <c r="C344" s="4" t="s">
        <v>11</v>
      </c>
      <c r="D344" s="4" t="s">
        <v>17</v>
      </c>
      <c r="E344" s="4" t="s">
        <v>13</v>
      </c>
      <c r="F344" s="4" t="s">
        <v>12</v>
      </c>
      <c r="G344" s="4">
        <v>100000</v>
      </c>
      <c r="H344" s="4">
        <v>35000</v>
      </c>
      <c r="I344" s="13">
        <v>1500000</v>
      </c>
      <c r="J344" s="4">
        <v>60</v>
      </c>
      <c r="K344" s="4">
        <v>1</v>
      </c>
      <c r="L344" s="4" t="s">
        <v>27</v>
      </c>
      <c r="M344" s="4" t="s">
        <v>15</v>
      </c>
      <c r="N344" s="4" t="s">
        <v>623</v>
      </c>
      <c r="O344" s="4" t="s">
        <v>625</v>
      </c>
      <c r="P344" s="5">
        <v>0.18</v>
      </c>
      <c r="Q344" s="14">
        <f>PMT($V$9/12,$V$12,-$V$8)</f>
        <v>38090.141140663625</v>
      </c>
      <c r="R344" s="4">
        <v>1000000</v>
      </c>
      <c r="S344" s="2" t="s">
        <v>12</v>
      </c>
    </row>
    <row r="345" spans="1:19" x14ac:dyDescent="0.3">
      <c r="A345" s="4">
        <v>344</v>
      </c>
      <c r="B345" s="4" t="s">
        <v>364</v>
      </c>
      <c r="C345" s="4" t="s">
        <v>11</v>
      </c>
      <c r="D345" s="4" t="s">
        <v>12</v>
      </c>
      <c r="E345" s="4" t="s">
        <v>13</v>
      </c>
      <c r="F345" s="4" t="s">
        <v>12</v>
      </c>
      <c r="G345" s="4">
        <v>21654</v>
      </c>
      <c r="H345" s="4">
        <v>14620</v>
      </c>
      <c r="I345" s="13">
        <v>489300</v>
      </c>
      <c r="J345" s="4">
        <v>60</v>
      </c>
      <c r="K345" s="4">
        <v>1</v>
      </c>
      <c r="L345" s="4" t="s">
        <v>18</v>
      </c>
      <c r="M345" s="4" t="s">
        <v>19</v>
      </c>
      <c r="N345" s="4" t="s">
        <v>623</v>
      </c>
      <c r="O345" s="4" t="s">
        <v>625</v>
      </c>
      <c r="P345" s="5">
        <v>0.18</v>
      </c>
      <c r="Q345" s="14">
        <f>PMT($AB$57/12,$AB$60,-$AB$56)</f>
        <v>12425.004040084474</v>
      </c>
      <c r="R345" s="4">
        <v>300000</v>
      </c>
      <c r="S345" s="2" t="s">
        <v>12</v>
      </c>
    </row>
    <row r="346" spans="1:19" x14ac:dyDescent="0.3">
      <c r="A346" s="4">
        <v>345</v>
      </c>
      <c r="B346" s="4" t="s">
        <v>365</v>
      </c>
      <c r="C346" s="4" t="s">
        <v>11</v>
      </c>
      <c r="D346" s="4" t="s">
        <v>17</v>
      </c>
      <c r="E346" s="4" t="s">
        <v>13</v>
      </c>
      <c r="F346" s="4" t="s">
        <v>12</v>
      </c>
      <c r="G346" s="4">
        <v>25000</v>
      </c>
      <c r="H346" s="4">
        <v>0</v>
      </c>
      <c r="I346" s="13">
        <v>500000</v>
      </c>
      <c r="J346" s="4">
        <v>60</v>
      </c>
      <c r="K346" s="4">
        <v>1</v>
      </c>
      <c r="L346" s="4" t="s">
        <v>18</v>
      </c>
      <c r="M346" s="4" t="s">
        <v>15</v>
      </c>
      <c r="N346" s="4" t="s">
        <v>623</v>
      </c>
      <c r="O346" s="4" t="s">
        <v>625</v>
      </c>
      <c r="P346" s="5">
        <v>0.18</v>
      </c>
      <c r="Q346" s="14">
        <f>PMT($V$15/12,$V$18,-$V$14)</f>
        <v>12696.713713554542</v>
      </c>
      <c r="R346" s="4" t="s">
        <v>635</v>
      </c>
      <c r="S346" s="2" t="s">
        <v>12</v>
      </c>
    </row>
    <row r="347" spans="1:19" x14ac:dyDescent="0.3">
      <c r="A347" s="4">
        <v>346</v>
      </c>
      <c r="B347" s="4" t="s">
        <v>366</v>
      </c>
      <c r="C347" s="4" t="s">
        <v>38</v>
      </c>
      <c r="D347" s="4" t="s">
        <v>17</v>
      </c>
      <c r="E347" s="4" t="s">
        <v>13</v>
      </c>
      <c r="F347" s="4" t="s">
        <v>17</v>
      </c>
      <c r="G347" s="4">
        <v>35700</v>
      </c>
      <c r="H347" s="4">
        <v>0</v>
      </c>
      <c r="I347" s="13">
        <v>478000</v>
      </c>
      <c r="J347" s="4">
        <v>60</v>
      </c>
      <c r="K347" s="4">
        <v>0</v>
      </c>
      <c r="L347" s="4" t="s">
        <v>18</v>
      </c>
      <c r="M347" s="4" t="s">
        <v>19</v>
      </c>
      <c r="N347" s="4" t="s">
        <v>623</v>
      </c>
      <c r="O347" s="4" t="s">
        <v>625</v>
      </c>
      <c r="P347" s="5">
        <v>0.18</v>
      </c>
      <c r="Q347" s="14">
        <f>PMT($V$63/12,$V$66,-$V$62)</f>
        <v>12138.058310158141</v>
      </c>
      <c r="R347" s="4">
        <v>300000</v>
      </c>
      <c r="S347" s="2" t="s">
        <v>12</v>
      </c>
    </row>
    <row r="348" spans="1:19" x14ac:dyDescent="0.3">
      <c r="A348" s="4">
        <v>347</v>
      </c>
      <c r="B348" s="4" t="s">
        <v>367</v>
      </c>
      <c r="C348" s="4" t="s">
        <v>38</v>
      </c>
      <c r="D348" s="4" t="s">
        <v>17</v>
      </c>
      <c r="E348" s="4" t="s">
        <v>13</v>
      </c>
      <c r="F348" s="4" t="s">
        <v>12</v>
      </c>
      <c r="G348" s="4">
        <v>48550</v>
      </c>
      <c r="H348" s="4">
        <v>54800</v>
      </c>
      <c r="I348" s="13">
        <v>748890</v>
      </c>
      <c r="J348" s="4">
        <v>60</v>
      </c>
      <c r="K348" s="4">
        <v>1</v>
      </c>
      <c r="L348" s="4" t="s">
        <v>27</v>
      </c>
      <c r="M348" s="4" t="s">
        <v>15</v>
      </c>
      <c r="N348" s="4" t="s">
        <v>623</v>
      </c>
      <c r="O348" s="4" t="s">
        <v>625</v>
      </c>
      <c r="P348" s="5">
        <v>0.18</v>
      </c>
      <c r="Q348" s="14">
        <f>PMT($Y$63/12,$Y$66,-$Y$62)</f>
        <v>19016.883865887721</v>
      </c>
      <c r="R348" s="4">
        <v>450000</v>
      </c>
      <c r="S348" s="2" t="s">
        <v>17</v>
      </c>
    </row>
    <row r="349" spans="1:19" x14ac:dyDescent="0.3">
      <c r="A349" s="4">
        <v>348</v>
      </c>
      <c r="B349" s="4" t="s">
        <v>368</v>
      </c>
      <c r="C349" s="4" t="s">
        <v>38</v>
      </c>
      <c r="D349" s="4" t="s">
        <v>12</v>
      </c>
      <c r="E349" s="4" t="s">
        <v>13</v>
      </c>
      <c r="F349" s="4" t="s">
        <v>12</v>
      </c>
      <c r="G349" s="4">
        <v>150000</v>
      </c>
      <c r="H349" s="4">
        <v>0</v>
      </c>
      <c r="I349" s="13">
        <v>1500000</v>
      </c>
      <c r="J349" s="4">
        <v>60</v>
      </c>
      <c r="K349" s="4">
        <v>1</v>
      </c>
      <c r="L349" s="4" t="s">
        <v>14</v>
      </c>
      <c r="M349" s="4" t="s">
        <v>15</v>
      </c>
      <c r="N349" s="4" t="s">
        <v>623</v>
      </c>
      <c r="O349" s="4" t="s">
        <v>625</v>
      </c>
      <c r="P349" s="5">
        <v>0.18</v>
      </c>
      <c r="Q349" s="14">
        <f>PMT($V$9/12,$V$12,-$V$8)</f>
        <v>38090.141140663625</v>
      </c>
      <c r="R349" s="4">
        <v>900000</v>
      </c>
      <c r="S349" s="2" t="s">
        <v>12</v>
      </c>
    </row>
    <row r="350" spans="1:19" x14ac:dyDescent="0.3">
      <c r="A350" s="4">
        <v>349</v>
      </c>
      <c r="B350" s="4" t="s">
        <v>369</v>
      </c>
      <c r="C350" s="4" t="s">
        <v>11</v>
      </c>
      <c r="D350" s="4" t="s">
        <v>17</v>
      </c>
      <c r="E350" s="4" t="s">
        <v>13</v>
      </c>
      <c r="F350" s="4" t="s">
        <v>12</v>
      </c>
      <c r="G350" s="4">
        <v>50000</v>
      </c>
      <c r="H350" s="4">
        <v>0</v>
      </c>
      <c r="I350" s="13">
        <v>1000000</v>
      </c>
      <c r="J350" s="4">
        <v>60</v>
      </c>
      <c r="K350" s="4">
        <v>1</v>
      </c>
      <c r="L350" s="4" t="s">
        <v>18</v>
      </c>
      <c r="M350" s="4" t="s">
        <v>15</v>
      </c>
      <c r="N350" s="4" t="s">
        <v>623</v>
      </c>
      <c r="O350" s="4" t="s">
        <v>625</v>
      </c>
      <c r="P350" s="5">
        <v>0.18</v>
      </c>
      <c r="Q350" s="14">
        <f>PMT($V$3/12,$V$6,-$V$2)</f>
        <v>25393.427427109084</v>
      </c>
      <c r="R350" s="4">
        <v>500000</v>
      </c>
      <c r="S350" s="2" t="s">
        <v>12</v>
      </c>
    </row>
    <row r="351" spans="1:19" x14ac:dyDescent="0.3">
      <c r="A351" s="4">
        <v>350</v>
      </c>
      <c r="B351" s="4" t="s">
        <v>370</v>
      </c>
      <c r="C351" s="4" t="s">
        <v>11</v>
      </c>
      <c r="D351" s="4" t="s">
        <v>17</v>
      </c>
      <c r="E351" s="4" t="s">
        <v>13</v>
      </c>
      <c r="F351" s="4" t="s">
        <v>12</v>
      </c>
      <c r="G351" s="4">
        <v>100000</v>
      </c>
      <c r="H351" s="4">
        <v>35000</v>
      </c>
      <c r="I351" s="13">
        <v>1500000</v>
      </c>
      <c r="J351" s="4">
        <v>60</v>
      </c>
      <c r="K351" s="4">
        <v>1</v>
      </c>
      <c r="L351" s="4" t="s">
        <v>14</v>
      </c>
      <c r="M351" s="4" t="s">
        <v>19</v>
      </c>
      <c r="N351" s="4" t="s">
        <v>623</v>
      </c>
      <c r="O351" s="4" t="s">
        <v>625</v>
      </c>
      <c r="P351" s="5">
        <v>0.18</v>
      </c>
      <c r="Q351" s="14">
        <f t="shared" ref="Q351:Q352" si="30">PMT($V$9/12,$V$12,-$V$8)</f>
        <v>38090.141140663625</v>
      </c>
      <c r="R351" s="4">
        <v>900000</v>
      </c>
      <c r="S351" s="2" t="s">
        <v>12</v>
      </c>
    </row>
    <row r="352" spans="1:19" x14ac:dyDescent="0.3">
      <c r="A352" s="4">
        <v>351</v>
      </c>
      <c r="B352" s="4" t="s">
        <v>371</v>
      </c>
      <c r="C352" s="4" t="s">
        <v>11</v>
      </c>
      <c r="D352" s="4" t="s">
        <v>17</v>
      </c>
      <c r="E352" s="4" t="s">
        <v>22</v>
      </c>
      <c r="F352" s="4" t="s">
        <v>12</v>
      </c>
      <c r="G352" s="4">
        <v>80000</v>
      </c>
      <c r="H352" s="4">
        <v>0</v>
      </c>
      <c r="I352" s="13">
        <v>1500000</v>
      </c>
      <c r="J352" s="4">
        <v>60</v>
      </c>
      <c r="K352" s="4">
        <v>0</v>
      </c>
      <c r="L352" s="4" t="s">
        <v>14</v>
      </c>
      <c r="M352" s="4" t="s">
        <v>19</v>
      </c>
      <c r="N352" s="4" t="s">
        <v>623</v>
      </c>
      <c r="O352" s="4" t="s">
        <v>625</v>
      </c>
      <c r="P352" s="5">
        <v>0.18</v>
      </c>
      <c r="Q352" s="14">
        <f t="shared" si="30"/>
        <v>38090.141140663625</v>
      </c>
      <c r="R352" s="4">
        <v>580000</v>
      </c>
      <c r="S352" s="2" t="s">
        <v>12</v>
      </c>
    </row>
    <row r="353" spans="1:19" x14ac:dyDescent="0.3">
      <c r="A353" s="4">
        <v>352</v>
      </c>
      <c r="B353" s="4" t="s">
        <v>372</v>
      </c>
      <c r="C353" s="4" t="s">
        <v>11</v>
      </c>
      <c r="D353" s="4" t="s">
        <v>17</v>
      </c>
      <c r="E353" s="4" t="s">
        <v>13</v>
      </c>
      <c r="F353" s="4" t="s">
        <v>12</v>
      </c>
      <c r="G353" s="4">
        <v>50000</v>
      </c>
      <c r="H353" s="4">
        <v>0</v>
      </c>
      <c r="I353" s="13">
        <v>500000</v>
      </c>
      <c r="J353" s="4">
        <v>60</v>
      </c>
      <c r="K353" s="4">
        <v>1</v>
      </c>
      <c r="L353" s="4" t="s">
        <v>27</v>
      </c>
      <c r="M353" s="4" t="s">
        <v>15</v>
      </c>
      <c r="N353" s="4" t="s">
        <v>623</v>
      </c>
      <c r="O353" s="4" t="s">
        <v>625</v>
      </c>
      <c r="P353" s="5">
        <v>0.18</v>
      </c>
      <c r="Q353" s="14">
        <f>PMT($V$15/12,$V$18,-$V$14)</f>
        <v>12696.713713554542</v>
      </c>
      <c r="R353" s="4">
        <v>400000</v>
      </c>
      <c r="S353" s="2" t="s">
        <v>12</v>
      </c>
    </row>
    <row r="354" spans="1:19" x14ac:dyDescent="0.3">
      <c r="A354" s="4">
        <v>353</v>
      </c>
      <c r="B354" s="4" t="s">
        <v>373</v>
      </c>
      <c r="C354" s="4" t="s">
        <v>38</v>
      </c>
      <c r="D354" s="4" t="s">
        <v>12</v>
      </c>
      <c r="E354" s="4" t="s">
        <v>13</v>
      </c>
      <c r="F354" s="4" t="s">
        <v>12</v>
      </c>
      <c r="G354" s="4">
        <v>200000</v>
      </c>
      <c r="H354" s="4">
        <v>50000</v>
      </c>
      <c r="I354" s="13">
        <v>3000000</v>
      </c>
      <c r="J354" s="4">
        <v>60</v>
      </c>
      <c r="K354" s="4">
        <v>1</v>
      </c>
      <c r="L354" s="4" t="s">
        <v>27</v>
      </c>
      <c r="M354" s="4" t="s">
        <v>19</v>
      </c>
      <c r="N354" s="4" t="s">
        <v>623</v>
      </c>
      <c r="O354" s="4" t="s">
        <v>625</v>
      </c>
      <c r="P354" s="5">
        <v>0.18</v>
      </c>
      <c r="Q354" s="14">
        <f>PMT($Y$81/12,$Y$84,-$Y$80)</f>
        <v>76180.282281327251</v>
      </c>
      <c r="R354" s="4">
        <v>1500000</v>
      </c>
      <c r="S354" s="2" t="s">
        <v>12</v>
      </c>
    </row>
    <row r="355" spans="1:19" x14ac:dyDescent="0.3">
      <c r="A355" s="4">
        <v>354</v>
      </c>
      <c r="B355" s="4" t="s">
        <v>374</v>
      </c>
      <c r="C355" s="4" t="s">
        <v>11</v>
      </c>
      <c r="D355" s="4" t="s">
        <v>17</v>
      </c>
      <c r="E355" s="4" t="s">
        <v>13</v>
      </c>
      <c r="F355" s="4" t="s">
        <v>12</v>
      </c>
      <c r="G355" s="4">
        <v>75000</v>
      </c>
      <c r="H355" s="4">
        <v>25000</v>
      </c>
      <c r="I355" s="13">
        <v>1000000</v>
      </c>
      <c r="J355" s="4">
        <v>60</v>
      </c>
      <c r="K355" s="4">
        <v>1</v>
      </c>
      <c r="L355" s="4" t="s">
        <v>27</v>
      </c>
      <c r="M355" s="4" t="s">
        <v>15</v>
      </c>
      <c r="N355" s="4" t="s">
        <v>623</v>
      </c>
      <c r="O355" s="4" t="s">
        <v>625</v>
      </c>
      <c r="P355" s="5">
        <v>0.18</v>
      </c>
      <c r="Q355" s="14">
        <f>PMT($V$3/12,$V$6,-$V$2)</f>
        <v>25393.427427109084</v>
      </c>
      <c r="R355" s="4">
        <v>600000</v>
      </c>
      <c r="S355" s="2" t="s">
        <v>17</v>
      </c>
    </row>
    <row r="356" spans="1:19" x14ac:dyDescent="0.3">
      <c r="A356" s="4">
        <v>355</v>
      </c>
      <c r="B356" s="4" t="s">
        <v>375</v>
      </c>
      <c r="C356" s="4" t="s">
        <v>11</v>
      </c>
      <c r="D356" s="4" t="s">
        <v>17</v>
      </c>
      <c r="E356" s="4" t="s">
        <v>13</v>
      </c>
      <c r="F356" s="4" t="s">
        <v>12</v>
      </c>
      <c r="G356" s="4">
        <v>50000</v>
      </c>
      <c r="H356" s="4">
        <v>35000</v>
      </c>
      <c r="I356" s="13">
        <v>1500000</v>
      </c>
      <c r="J356" s="4">
        <v>60</v>
      </c>
      <c r="K356" s="4">
        <v>1</v>
      </c>
      <c r="L356" s="4" t="s">
        <v>14</v>
      </c>
      <c r="M356" s="4" t="s">
        <v>15</v>
      </c>
      <c r="N356" s="4" t="s">
        <v>623</v>
      </c>
      <c r="O356" s="4" t="s">
        <v>625</v>
      </c>
      <c r="P356" s="5">
        <v>0.18</v>
      </c>
      <c r="Q356" s="14">
        <f>PMT($V$9/12,$V$12,-$V$8)</f>
        <v>38090.141140663625</v>
      </c>
      <c r="R356" s="4">
        <v>590000</v>
      </c>
      <c r="S356" s="2" t="s">
        <v>17</v>
      </c>
    </row>
    <row r="357" spans="1:19" x14ac:dyDescent="0.3">
      <c r="A357" s="4">
        <v>356</v>
      </c>
      <c r="B357" s="4" t="s">
        <v>376</v>
      </c>
      <c r="C357" s="4" t="s">
        <v>11</v>
      </c>
      <c r="D357" s="4" t="s">
        <v>17</v>
      </c>
      <c r="E357" s="4" t="s">
        <v>13</v>
      </c>
      <c r="F357" s="4" t="s">
        <v>12</v>
      </c>
      <c r="G357" s="4">
        <v>85000</v>
      </c>
      <c r="H357" s="4">
        <v>0</v>
      </c>
      <c r="I357" s="13">
        <v>1000000</v>
      </c>
      <c r="J357" s="4">
        <v>60</v>
      </c>
      <c r="K357" s="4">
        <v>0</v>
      </c>
      <c r="L357" s="4" t="s">
        <v>14</v>
      </c>
      <c r="M357" s="4" t="s">
        <v>15</v>
      </c>
      <c r="N357" s="4" t="s">
        <v>623</v>
      </c>
      <c r="O357" s="4" t="s">
        <v>625</v>
      </c>
      <c r="P357" s="5">
        <v>0.18</v>
      </c>
      <c r="Q357" s="14">
        <f>PMT($V$3/12,$V$6,-$V$2)</f>
        <v>25393.427427109084</v>
      </c>
      <c r="R357" s="4">
        <v>670000</v>
      </c>
      <c r="S357" s="2" t="s">
        <v>17</v>
      </c>
    </row>
    <row r="358" spans="1:19" x14ac:dyDescent="0.3">
      <c r="A358" s="4">
        <v>357</v>
      </c>
      <c r="B358" s="4" t="s">
        <v>377</v>
      </c>
      <c r="C358" s="4" t="s">
        <v>11</v>
      </c>
      <c r="D358" s="4" t="s">
        <v>12</v>
      </c>
      <c r="E358" s="4" t="s">
        <v>13</v>
      </c>
      <c r="F358" s="4" t="s">
        <v>17</v>
      </c>
      <c r="G358" s="4">
        <v>50000</v>
      </c>
      <c r="H358" s="4">
        <v>30000</v>
      </c>
      <c r="I358" s="13">
        <v>2000000</v>
      </c>
      <c r="J358" s="4">
        <v>60</v>
      </c>
      <c r="K358" s="4">
        <v>1</v>
      </c>
      <c r="L358" s="4" t="s">
        <v>18</v>
      </c>
      <c r="M358" s="4" t="s">
        <v>15</v>
      </c>
      <c r="N358" s="4" t="s">
        <v>623</v>
      </c>
      <c r="O358" s="4" t="s">
        <v>625</v>
      </c>
      <c r="P358" s="5">
        <v>0.18</v>
      </c>
      <c r="Q358" s="14">
        <f>PMT($V$27/12,$V$30,-$V$26)</f>
        <v>50786.854854218167</v>
      </c>
      <c r="R358" s="4">
        <v>600000</v>
      </c>
      <c r="S358" s="2" t="s">
        <v>12</v>
      </c>
    </row>
    <row r="359" spans="1:19" x14ac:dyDescent="0.3">
      <c r="A359" s="4">
        <v>358</v>
      </c>
      <c r="B359" s="4" t="s">
        <v>378</v>
      </c>
      <c r="C359" s="4" t="s">
        <v>11</v>
      </c>
      <c r="D359" s="4" t="s">
        <v>12</v>
      </c>
      <c r="E359" s="4" t="s">
        <v>22</v>
      </c>
      <c r="F359" s="4" t="s">
        <v>12</v>
      </c>
      <c r="G359" s="4">
        <v>65000</v>
      </c>
      <c r="H359" s="4">
        <v>20000</v>
      </c>
      <c r="I359" s="13">
        <v>800000</v>
      </c>
      <c r="J359" s="4">
        <v>60</v>
      </c>
      <c r="K359" s="4">
        <v>1</v>
      </c>
      <c r="L359" s="4" t="s">
        <v>18</v>
      </c>
      <c r="M359" s="4" t="s">
        <v>19</v>
      </c>
      <c r="N359" s="4" t="s">
        <v>623</v>
      </c>
      <c r="O359" s="4" t="s">
        <v>625</v>
      </c>
      <c r="P359" s="5">
        <v>0.18</v>
      </c>
      <c r="Q359" s="14">
        <f>PMT($V$33/12,$V$36,-$V$32)</f>
        <v>20314.741941687265</v>
      </c>
      <c r="R359" s="4">
        <v>670000</v>
      </c>
      <c r="S359" s="2" t="s">
        <v>12</v>
      </c>
    </row>
    <row r="360" spans="1:19" x14ac:dyDescent="0.3">
      <c r="A360" s="4">
        <v>359</v>
      </c>
      <c r="B360" s="4" t="s">
        <v>379</v>
      </c>
      <c r="C360" s="4" t="s">
        <v>11</v>
      </c>
      <c r="D360" s="4" t="s">
        <v>12</v>
      </c>
      <c r="E360" s="4" t="s">
        <v>13</v>
      </c>
      <c r="F360" s="4" t="s">
        <v>12</v>
      </c>
      <c r="G360" s="4">
        <v>55000</v>
      </c>
      <c r="H360" s="4">
        <v>25000</v>
      </c>
      <c r="I360" s="13">
        <v>1000000</v>
      </c>
      <c r="J360" s="4">
        <v>60</v>
      </c>
      <c r="K360" s="4">
        <v>1</v>
      </c>
      <c r="L360" s="4" t="s">
        <v>27</v>
      </c>
      <c r="M360" s="4" t="s">
        <v>19</v>
      </c>
      <c r="N360" s="4" t="s">
        <v>623</v>
      </c>
      <c r="O360" s="4" t="s">
        <v>625</v>
      </c>
      <c r="P360" s="5">
        <v>0.18</v>
      </c>
      <c r="Q360" s="14">
        <f t="shared" ref="Q360:Q361" si="31">PMT($V$3/12,$V$6,-$V$2)</f>
        <v>25393.427427109084</v>
      </c>
      <c r="R360" s="4">
        <v>755000</v>
      </c>
      <c r="S360" s="2" t="s">
        <v>17</v>
      </c>
    </row>
    <row r="361" spans="1:19" x14ac:dyDescent="0.3">
      <c r="A361" s="4">
        <v>360</v>
      </c>
      <c r="B361" s="4" t="s">
        <v>380</v>
      </c>
      <c r="C361" s="4" t="s">
        <v>11</v>
      </c>
      <c r="D361" s="4" t="s">
        <v>12</v>
      </c>
      <c r="E361" s="4" t="s">
        <v>13</v>
      </c>
      <c r="F361" s="4" t="s">
        <v>12</v>
      </c>
      <c r="G361" s="4">
        <v>50000</v>
      </c>
      <c r="H361" s="4">
        <v>0</v>
      </c>
      <c r="I361" s="13">
        <v>1000000</v>
      </c>
      <c r="J361" s="4">
        <v>60</v>
      </c>
      <c r="K361" s="4">
        <v>0</v>
      </c>
      <c r="L361" s="4" t="s">
        <v>18</v>
      </c>
      <c r="M361" s="4" t="s">
        <v>19</v>
      </c>
      <c r="N361" s="4" t="s">
        <v>623</v>
      </c>
      <c r="O361" s="4" t="s">
        <v>625</v>
      </c>
      <c r="P361" s="5">
        <v>0.18</v>
      </c>
      <c r="Q361" s="14">
        <f t="shared" si="31"/>
        <v>25393.427427109084</v>
      </c>
      <c r="R361" s="4">
        <v>455000</v>
      </c>
      <c r="S361" s="2" t="s">
        <v>12</v>
      </c>
    </row>
    <row r="362" spans="1:19" x14ac:dyDescent="0.3">
      <c r="A362" s="4">
        <v>361</v>
      </c>
      <c r="B362" s="4" t="s">
        <v>381</v>
      </c>
      <c r="C362" s="4" t="s">
        <v>11</v>
      </c>
      <c r="D362" s="4" t="s">
        <v>17</v>
      </c>
      <c r="E362" s="4" t="s">
        <v>13</v>
      </c>
      <c r="F362" s="4" t="s">
        <v>12</v>
      </c>
      <c r="G362" s="4">
        <v>100000</v>
      </c>
      <c r="H362" s="4">
        <v>35000</v>
      </c>
      <c r="I362" s="13">
        <v>1500000</v>
      </c>
      <c r="J362" s="4">
        <v>60</v>
      </c>
      <c r="K362" s="4">
        <v>1</v>
      </c>
      <c r="L362" s="4" t="s">
        <v>27</v>
      </c>
      <c r="M362" s="4" t="s">
        <v>15</v>
      </c>
      <c r="N362" s="4" t="s">
        <v>623</v>
      </c>
      <c r="O362" s="4" t="s">
        <v>625</v>
      </c>
      <c r="P362" s="5">
        <v>0.18</v>
      </c>
      <c r="Q362" s="14">
        <f>PMT($V$9/12,$V$12,-$V$8)</f>
        <v>38090.141140663625</v>
      </c>
      <c r="R362" s="4">
        <v>1000000</v>
      </c>
      <c r="S362" s="2" t="s">
        <v>12</v>
      </c>
    </row>
    <row r="363" spans="1:19" x14ac:dyDescent="0.3">
      <c r="A363" s="4">
        <v>362</v>
      </c>
      <c r="B363" s="4" t="s">
        <v>382</v>
      </c>
      <c r="C363" s="4" t="s">
        <v>11</v>
      </c>
      <c r="D363" s="4" t="s">
        <v>17</v>
      </c>
      <c r="E363" s="4" t="s">
        <v>13</v>
      </c>
      <c r="F363" s="4" t="s">
        <v>12</v>
      </c>
      <c r="G363" s="4">
        <v>24601</v>
      </c>
      <c r="H363" s="4">
        <v>0</v>
      </c>
      <c r="I363" s="13">
        <v>423601</v>
      </c>
      <c r="J363" s="4">
        <v>60</v>
      </c>
      <c r="K363" s="4">
        <v>1</v>
      </c>
      <c r="L363" s="4" t="s">
        <v>18</v>
      </c>
      <c r="M363" s="4" t="s">
        <v>19</v>
      </c>
      <c r="N363" s="4" t="s">
        <v>623</v>
      </c>
      <c r="O363" s="4" t="s">
        <v>625</v>
      </c>
      <c r="P363" s="5">
        <v>0.18</v>
      </c>
      <c r="Q363" s="14">
        <f>PMT($AB$39/12,$AB$42,-$AB$38)</f>
        <v>10756.681251550835</v>
      </c>
      <c r="R363" s="4" t="s">
        <v>635</v>
      </c>
      <c r="S363" s="2" t="s">
        <v>12</v>
      </c>
    </row>
    <row r="364" spans="1:19" x14ac:dyDescent="0.3">
      <c r="A364" s="4">
        <v>363</v>
      </c>
      <c r="B364" s="4" t="s">
        <v>383</v>
      </c>
      <c r="C364" s="4" t="s">
        <v>38</v>
      </c>
      <c r="D364" s="4" t="s">
        <v>12</v>
      </c>
      <c r="E364" s="4" t="s">
        <v>13</v>
      </c>
      <c r="F364" s="4" t="s">
        <v>17</v>
      </c>
      <c r="G364" s="4">
        <v>75000</v>
      </c>
      <c r="H364" s="4">
        <v>0</v>
      </c>
      <c r="I364" s="13">
        <v>358000</v>
      </c>
      <c r="J364" s="4">
        <v>60</v>
      </c>
      <c r="K364" s="4">
        <v>1</v>
      </c>
      <c r="L364" s="4" t="s">
        <v>27</v>
      </c>
      <c r="M364" s="4" t="s">
        <v>15</v>
      </c>
      <c r="N364" s="4" t="s">
        <v>623</v>
      </c>
      <c r="O364" s="4" t="s">
        <v>625</v>
      </c>
      <c r="P364" s="5">
        <v>0.18</v>
      </c>
      <c r="Q364" s="14">
        <f>PMT($AB$45/12,$AB$48,-$AB$44)</f>
        <v>9090.8470189050531</v>
      </c>
      <c r="R364" s="4">
        <v>600000</v>
      </c>
      <c r="S364" s="2" t="s">
        <v>12</v>
      </c>
    </row>
    <row r="365" spans="1:19" x14ac:dyDescent="0.3">
      <c r="A365" s="4">
        <v>364</v>
      </c>
      <c r="B365" s="4" t="s">
        <v>384</v>
      </c>
      <c r="C365" s="4" t="s">
        <v>11</v>
      </c>
      <c r="D365" s="4" t="s">
        <v>17</v>
      </c>
      <c r="E365" s="4" t="s">
        <v>13</v>
      </c>
      <c r="F365" s="4" t="s">
        <v>12</v>
      </c>
      <c r="G365" s="4">
        <v>21654</v>
      </c>
      <c r="H365" s="4">
        <v>14620</v>
      </c>
      <c r="I365" s="13">
        <v>489300</v>
      </c>
      <c r="J365" s="4">
        <v>60</v>
      </c>
      <c r="K365" s="4">
        <v>1</v>
      </c>
      <c r="L365" s="4" t="s">
        <v>27</v>
      </c>
      <c r="M365" s="4" t="s">
        <v>15</v>
      </c>
      <c r="N365" s="4" t="s">
        <v>623</v>
      </c>
      <c r="O365" s="4" t="s">
        <v>625</v>
      </c>
      <c r="P365" s="5">
        <v>0.18</v>
      </c>
      <c r="Q365" s="14">
        <f>PMT($AB$57/12,$AB$60,-$AB$56)</f>
        <v>12425.004040084474</v>
      </c>
      <c r="R365" s="4">
        <v>200000</v>
      </c>
      <c r="S365" s="2" t="s">
        <v>12</v>
      </c>
    </row>
    <row r="366" spans="1:19" x14ac:dyDescent="0.3">
      <c r="A366" s="4">
        <v>365</v>
      </c>
      <c r="B366" s="4" t="s">
        <v>385</v>
      </c>
      <c r="C366" s="4" t="s">
        <v>11</v>
      </c>
      <c r="D366" s="4" t="s">
        <v>17</v>
      </c>
      <c r="E366" s="4" t="s">
        <v>13</v>
      </c>
      <c r="F366" s="4" t="s">
        <v>17</v>
      </c>
      <c r="G366" s="4">
        <v>25000</v>
      </c>
      <c r="H366" s="4">
        <v>0</v>
      </c>
      <c r="I366" s="13">
        <v>500000</v>
      </c>
      <c r="J366" s="4">
        <v>60</v>
      </c>
      <c r="K366" s="4">
        <v>1</v>
      </c>
      <c r="L366" s="4" t="s">
        <v>18</v>
      </c>
      <c r="M366" s="4" t="s">
        <v>15</v>
      </c>
      <c r="N366" s="4" t="s">
        <v>623</v>
      </c>
      <c r="O366" s="4" t="s">
        <v>625</v>
      </c>
      <c r="P366" s="5">
        <v>0.18</v>
      </c>
      <c r="Q366" s="14">
        <f>PMT($V$15/12,$V$18,-$V$14)</f>
        <v>12696.713713554542</v>
      </c>
      <c r="R366" s="4" t="s">
        <v>635</v>
      </c>
      <c r="S366" s="2" t="s">
        <v>12</v>
      </c>
    </row>
    <row r="367" spans="1:19" x14ac:dyDescent="0.3">
      <c r="A367" s="4">
        <v>366</v>
      </c>
      <c r="B367" s="4" t="s">
        <v>386</v>
      </c>
      <c r="C367" s="4" t="s">
        <v>11</v>
      </c>
      <c r="D367" s="4" t="s">
        <v>12</v>
      </c>
      <c r="E367" s="4" t="s">
        <v>13</v>
      </c>
      <c r="F367" s="4" t="s">
        <v>12</v>
      </c>
      <c r="G367" s="4">
        <v>35700</v>
      </c>
      <c r="H367" s="4">
        <v>0</v>
      </c>
      <c r="I367" s="13">
        <v>478000</v>
      </c>
      <c r="J367" s="4">
        <v>60</v>
      </c>
      <c r="K367" s="4">
        <v>0</v>
      </c>
      <c r="L367" s="4" t="s">
        <v>14</v>
      </c>
      <c r="M367" s="4" t="s">
        <v>19</v>
      </c>
      <c r="N367" s="4" t="s">
        <v>623</v>
      </c>
      <c r="O367" s="4" t="s">
        <v>625</v>
      </c>
      <c r="P367" s="5">
        <v>0.18</v>
      </c>
      <c r="Q367" s="14">
        <f>PMT($V$63/12,$V$66,-$V$62)</f>
        <v>12138.058310158141</v>
      </c>
      <c r="R367" s="4">
        <v>250000</v>
      </c>
      <c r="S367" s="2" t="s">
        <v>17</v>
      </c>
    </row>
    <row r="368" spans="1:19" x14ac:dyDescent="0.3">
      <c r="A368" s="4">
        <v>367</v>
      </c>
      <c r="B368" s="4" t="s">
        <v>387</v>
      </c>
      <c r="C368" s="4" t="s">
        <v>38</v>
      </c>
      <c r="D368" s="4" t="s">
        <v>12</v>
      </c>
      <c r="E368" s="4" t="s">
        <v>13</v>
      </c>
      <c r="F368" s="4" t="s">
        <v>17</v>
      </c>
      <c r="G368" s="4">
        <v>48550</v>
      </c>
      <c r="H368" s="4">
        <v>54800</v>
      </c>
      <c r="I368" s="13">
        <v>748890</v>
      </c>
      <c r="J368" s="4">
        <v>60</v>
      </c>
      <c r="K368" s="4">
        <v>1</v>
      </c>
      <c r="L368" s="4" t="s">
        <v>14</v>
      </c>
      <c r="M368" s="4" t="s">
        <v>15</v>
      </c>
      <c r="N368" s="4" t="s">
        <v>623</v>
      </c>
      <c r="O368" s="4" t="s">
        <v>625</v>
      </c>
      <c r="P368" s="5">
        <v>0.18</v>
      </c>
      <c r="Q368" s="14">
        <f>PMT($Y$63/12,$Y$66,-$Y$62)</f>
        <v>19016.883865887721</v>
      </c>
      <c r="R368" s="4">
        <v>565000</v>
      </c>
      <c r="S368" s="2" t="s">
        <v>12</v>
      </c>
    </row>
    <row r="369" spans="1:19" x14ac:dyDescent="0.3">
      <c r="A369" s="4">
        <v>368</v>
      </c>
      <c r="B369" s="4" t="s">
        <v>388</v>
      </c>
      <c r="C369" s="4" t="s">
        <v>11</v>
      </c>
      <c r="D369" s="4" t="s">
        <v>17</v>
      </c>
      <c r="E369" s="4" t="s">
        <v>13</v>
      </c>
      <c r="F369" s="4" t="s">
        <v>12</v>
      </c>
      <c r="G369" s="4">
        <v>150000</v>
      </c>
      <c r="H369" s="4">
        <v>0</v>
      </c>
      <c r="I369" s="13">
        <v>1500000</v>
      </c>
      <c r="J369" s="4">
        <v>60</v>
      </c>
      <c r="K369" s="4">
        <v>1</v>
      </c>
      <c r="L369" s="4" t="s">
        <v>14</v>
      </c>
      <c r="M369" s="4" t="s">
        <v>15</v>
      </c>
      <c r="N369" s="4" t="s">
        <v>623</v>
      </c>
      <c r="O369" s="4" t="s">
        <v>625</v>
      </c>
      <c r="P369" s="5">
        <v>0.18</v>
      </c>
      <c r="Q369" s="14">
        <f>PMT($V$9/12,$V$12,-$V$8)</f>
        <v>38090.141140663625</v>
      </c>
      <c r="R369" s="4">
        <v>865000</v>
      </c>
      <c r="S369" s="2" t="s">
        <v>12</v>
      </c>
    </row>
    <row r="370" spans="1:19" x14ac:dyDescent="0.3">
      <c r="A370" s="4">
        <v>369</v>
      </c>
      <c r="B370" s="4" t="s">
        <v>389</v>
      </c>
      <c r="C370" s="4" t="s">
        <v>11</v>
      </c>
      <c r="D370" s="4" t="s">
        <v>17</v>
      </c>
      <c r="E370" s="4" t="s">
        <v>13</v>
      </c>
      <c r="F370" s="4" t="s">
        <v>12</v>
      </c>
      <c r="G370" s="4">
        <v>50000</v>
      </c>
      <c r="H370" s="4">
        <v>0</v>
      </c>
      <c r="I370" s="13">
        <v>1000000</v>
      </c>
      <c r="J370" s="4">
        <v>60</v>
      </c>
      <c r="K370" s="4">
        <v>1</v>
      </c>
      <c r="L370" s="4" t="s">
        <v>18</v>
      </c>
      <c r="M370" s="4" t="s">
        <v>15</v>
      </c>
      <c r="N370" s="4" t="s">
        <v>623</v>
      </c>
      <c r="O370" s="4" t="s">
        <v>625</v>
      </c>
      <c r="P370" s="5">
        <v>0.18</v>
      </c>
      <c r="Q370" s="14">
        <f>PMT($V$3/12,$V$6,-$V$2)</f>
        <v>25393.427427109084</v>
      </c>
      <c r="R370" s="4">
        <v>545000</v>
      </c>
      <c r="S370" s="2" t="s">
        <v>12</v>
      </c>
    </row>
    <row r="371" spans="1:19" x14ac:dyDescent="0.3">
      <c r="A371" s="4">
        <v>370</v>
      </c>
      <c r="B371" s="4" t="s">
        <v>390</v>
      </c>
      <c r="C371" s="4" t="s">
        <v>11</v>
      </c>
      <c r="D371" s="4" t="s">
        <v>17</v>
      </c>
      <c r="E371" s="4" t="s">
        <v>13</v>
      </c>
      <c r="F371" s="4" t="s">
        <v>12</v>
      </c>
      <c r="G371" s="4">
        <v>100000</v>
      </c>
      <c r="H371" s="4">
        <v>35000</v>
      </c>
      <c r="I371" s="13">
        <v>1500000</v>
      </c>
      <c r="J371" s="4">
        <v>60</v>
      </c>
      <c r="K371" s="4">
        <v>0</v>
      </c>
      <c r="L371" s="4" t="s">
        <v>27</v>
      </c>
      <c r="M371" s="4" t="s">
        <v>15</v>
      </c>
      <c r="N371" s="4" t="s">
        <v>623</v>
      </c>
      <c r="O371" s="4" t="s">
        <v>625</v>
      </c>
      <c r="P371" s="5">
        <v>0.18</v>
      </c>
      <c r="Q371" s="14">
        <f t="shared" ref="Q371:Q372" si="32">PMT($V$9/12,$V$12,-$V$8)</f>
        <v>38090.141140663625</v>
      </c>
      <c r="R371" s="4">
        <v>1000000</v>
      </c>
      <c r="S371" s="2" t="s">
        <v>12</v>
      </c>
    </row>
    <row r="372" spans="1:19" x14ac:dyDescent="0.3">
      <c r="A372" s="4">
        <v>371</v>
      </c>
      <c r="B372" s="4" t="s">
        <v>391</v>
      </c>
      <c r="C372" s="4" t="s">
        <v>11</v>
      </c>
      <c r="D372" s="4" t="s">
        <v>12</v>
      </c>
      <c r="E372" s="4" t="s">
        <v>13</v>
      </c>
      <c r="F372" s="4" t="s">
        <v>12</v>
      </c>
      <c r="G372" s="4">
        <v>80000</v>
      </c>
      <c r="H372" s="4">
        <v>0</v>
      </c>
      <c r="I372" s="13">
        <v>1500000</v>
      </c>
      <c r="J372" s="4">
        <v>60</v>
      </c>
      <c r="K372" s="4">
        <v>1</v>
      </c>
      <c r="L372" s="4" t="s">
        <v>14</v>
      </c>
      <c r="M372" s="4" t="s">
        <v>19</v>
      </c>
      <c r="N372" s="4" t="s">
        <v>623</v>
      </c>
      <c r="O372" s="4" t="s">
        <v>625</v>
      </c>
      <c r="P372" s="5">
        <v>0.18</v>
      </c>
      <c r="Q372" s="14">
        <f t="shared" si="32"/>
        <v>38090.141140663625</v>
      </c>
      <c r="R372" s="4">
        <v>658000</v>
      </c>
      <c r="S372" s="2" t="s">
        <v>12</v>
      </c>
    </row>
    <row r="373" spans="1:19" x14ac:dyDescent="0.3">
      <c r="A373" s="4">
        <v>372</v>
      </c>
      <c r="B373" s="4" t="s">
        <v>392</v>
      </c>
      <c r="C373" s="4" t="s">
        <v>11</v>
      </c>
      <c r="D373" s="4" t="s">
        <v>17</v>
      </c>
      <c r="E373" s="4" t="s">
        <v>13</v>
      </c>
      <c r="F373" s="4" t="s">
        <v>12</v>
      </c>
      <c r="G373" s="4">
        <v>50000</v>
      </c>
      <c r="H373" s="4">
        <v>0</v>
      </c>
      <c r="I373" s="13">
        <v>500000</v>
      </c>
      <c r="J373" s="4">
        <v>60</v>
      </c>
      <c r="K373" s="4">
        <v>1</v>
      </c>
      <c r="L373" s="4" t="s">
        <v>14</v>
      </c>
      <c r="M373" s="4" t="s">
        <v>15</v>
      </c>
      <c r="N373" s="4" t="s">
        <v>623</v>
      </c>
      <c r="O373" s="4" t="s">
        <v>625</v>
      </c>
      <c r="P373" s="5">
        <v>0.18</v>
      </c>
      <c r="Q373" s="14">
        <f>PMT($V$15/12,$V$18,-$V$14)</f>
        <v>12696.713713554542</v>
      </c>
      <c r="R373" s="4">
        <v>459000</v>
      </c>
      <c r="S373" s="2" t="s">
        <v>17</v>
      </c>
    </row>
    <row r="374" spans="1:19" x14ac:dyDescent="0.3">
      <c r="A374" s="4">
        <v>373</v>
      </c>
      <c r="B374" s="4" t="s">
        <v>393</v>
      </c>
      <c r="C374" s="4" t="s">
        <v>11</v>
      </c>
      <c r="D374" s="4" t="s">
        <v>17</v>
      </c>
      <c r="E374" s="4" t="s">
        <v>13</v>
      </c>
      <c r="F374" s="4" t="s">
        <v>17</v>
      </c>
      <c r="G374" s="4">
        <v>200000</v>
      </c>
      <c r="H374" s="4">
        <v>50000</v>
      </c>
      <c r="I374" s="13">
        <v>3000000</v>
      </c>
      <c r="J374" s="4">
        <v>60</v>
      </c>
      <c r="K374" s="4">
        <v>1</v>
      </c>
      <c r="L374" s="4" t="s">
        <v>27</v>
      </c>
      <c r="M374" s="4" t="s">
        <v>15</v>
      </c>
      <c r="N374" s="4" t="s">
        <v>623</v>
      </c>
      <c r="O374" s="4" t="s">
        <v>625</v>
      </c>
      <c r="P374" s="5">
        <v>0.18</v>
      </c>
      <c r="Q374" s="14">
        <f t="shared" ref="Q374:Q375" si="33">PMT($Y$81/12,$Y$84,-$Y$80)</f>
        <v>76180.282281327251</v>
      </c>
      <c r="R374" s="4">
        <v>1500000</v>
      </c>
      <c r="S374" s="2" t="s">
        <v>12</v>
      </c>
    </row>
    <row r="375" spans="1:19" x14ac:dyDescent="0.3">
      <c r="A375" s="4">
        <v>374</v>
      </c>
      <c r="B375" s="4" t="s">
        <v>394</v>
      </c>
      <c r="C375" s="4" t="s">
        <v>11</v>
      </c>
      <c r="D375" s="4" t="s">
        <v>12</v>
      </c>
      <c r="E375" s="4" t="s">
        <v>13</v>
      </c>
      <c r="F375" s="4" t="s">
        <v>12</v>
      </c>
      <c r="G375" s="4">
        <v>200000</v>
      </c>
      <c r="H375" s="4">
        <v>50000</v>
      </c>
      <c r="I375" s="13">
        <v>3000000</v>
      </c>
      <c r="J375" s="4">
        <v>60</v>
      </c>
      <c r="K375" s="4">
        <v>1</v>
      </c>
      <c r="L375" s="4" t="s">
        <v>27</v>
      </c>
      <c r="M375" s="4" t="s">
        <v>15</v>
      </c>
      <c r="N375" s="4" t="s">
        <v>623</v>
      </c>
      <c r="O375" s="4" t="s">
        <v>625</v>
      </c>
      <c r="P375" s="5">
        <v>0.18</v>
      </c>
      <c r="Q375" s="14">
        <f t="shared" si="33"/>
        <v>76180.282281327251</v>
      </c>
      <c r="R375" s="4">
        <v>1500000</v>
      </c>
      <c r="S375" s="2" t="s">
        <v>12</v>
      </c>
    </row>
    <row r="376" spans="1:19" x14ac:dyDescent="0.3">
      <c r="A376" s="4">
        <v>375</v>
      </c>
      <c r="B376" s="4" t="s">
        <v>395</v>
      </c>
      <c r="C376" s="4" t="s">
        <v>38</v>
      </c>
      <c r="D376" s="4" t="s">
        <v>12</v>
      </c>
      <c r="E376" s="4" t="s">
        <v>13</v>
      </c>
      <c r="F376" s="4" t="s">
        <v>12</v>
      </c>
      <c r="G376" s="4">
        <v>75000</v>
      </c>
      <c r="H376" s="4">
        <v>25000</v>
      </c>
      <c r="I376" s="13">
        <v>1000000</v>
      </c>
      <c r="J376" s="4">
        <v>60</v>
      </c>
      <c r="K376" s="4">
        <v>1</v>
      </c>
      <c r="L376" s="4" t="s">
        <v>14</v>
      </c>
      <c r="M376" s="4" t="s">
        <v>15</v>
      </c>
      <c r="N376" s="4" t="s">
        <v>623</v>
      </c>
      <c r="O376" s="4" t="s">
        <v>625</v>
      </c>
      <c r="P376" s="5">
        <v>0.18</v>
      </c>
      <c r="Q376" s="14">
        <f>PMT($V$3/12,$V$6,-$V$2)</f>
        <v>25393.427427109084</v>
      </c>
      <c r="R376" s="4">
        <v>756000</v>
      </c>
      <c r="S376" s="2" t="s">
        <v>12</v>
      </c>
    </row>
    <row r="377" spans="1:19" x14ac:dyDescent="0.3">
      <c r="A377" s="4">
        <v>376</v>
      </c>
      <c r="B377" s="4" t="s">
        <v>396</v>
      </c>
      <c r="C377" s="4" t="s">
        <v>11</v>
      </c>
      <c r="D377" s="4" t="s">
        <v>12</v>
      </c>
      <c r="E377" s="4" t="s">
        <v>13</v>
      </c>
      <c r="F377" s="4" t="s">
        <v>17</v>
      </c>
      <c r="G377" s="4">
        <v>50000</v>
      </c>
      <c r="H377" s="4">
        <v>35000</v>
      </c>
      <c r="I377" s="13">
        <v>1500000</v>
      </c>
      <c r="J377" s="4">
        <v>60</v>
      </c>
      <c r="K377" s="4">
        <v>1</v>
      </c>
      <c r="L377" s="4" t="s">
        <v>14</v>
      </c>
      <c r="M377" s="4" t="s">
        <v>15</v>
      </c>
      <c r="N377" s="4" t="s">
        <v>623</v>
      </c>
      <c r="O377" s="4" t="s">
        <v>625</v>
      </c>
      <c r="P377" s="5">
        <v>0.18</v>
      </c>
      <c r="Q377" s="14">
        <f>PMT($V$9/12,$V$12,-$V$8)</f>
        <v>38090.141140663625</v>
      </c>
      <c r="R377" s="4">
        <v>452000</v>
      </c>
      <c r="S377" s="2" t="s">
        <v>12</v>
      </c>
    </row>
    <row r="378" spans="1:19" x14ac:dyDescent="0.3">
      <c r="A378" s="4">
        <v>377</v>
      </c>
      <c r="B378" s="4" t="s">
        <v>397</v>
      </c>
      <c r="C378" s="4" t="s">
        <v>11</v>
      </c>
      <c r="D378" s="4" t="s">
        <v>17</v>
      </c>
      <c r="E378" s="4" t="s">
        <v>13</v>
      </c>
      <c r="F378" s="4" t="s">
        <v>12</v>
      </c>
      <c r="G378" s="4">
        <v>85000</v>
      </c>
      <c r="H378" s="4">
        <v>0</v>
      </c>
      <c r="I378" s="13">
        <v>1000000</v>
      </c>
      <c r="J378" s="4">
        <v>60</v>
      </c>
      <c r="K378" s="4">
        <v>1</v>
      </c>
      <c r="L378" s="4" t="s">
        <v>14</v>
      </c>
      <c r="M378" s="4" t="s">
        <v>19</v>
      </c>
      <c r="N378" s="4" t="s">
        <v>623</v>
      </c>
      <c r="O378" s="4" t="s">
        <v>625</v>
      </c>
      <c r="P378" s="5">
        <v>0.18</v>
      </c>
      <c r="Q378" s="14">
        <f>PMT($V$3/12,$V$6,-$V$2)</f>
        <v>25393.427427109084</v>
      </c>
      <c r="R378" s="4">
        <v>658000</v>
      </c>
      <c r="S378" s="2" t="s">
        <v>12</v>
      </c>
    </row>
    <row r="379" spans="1:19" x14ac:dyDescent="0.3">
      <c r="A379" s="4">
        <v>378</v>
      </c>
      <c r="B379" s="4" t="s">
        <v>398</v>
      </c>
      <c r="C379" s="4" t="s">
        <v>11</v>
      </c>
      <c r="D379" s="4" t="s">
        <v>12</v>
      </c>
      <c r="E379" s="4" t="s">
        <v>13</v>
      </c>
      <c r="F379" s="4" t="s">
        <v>17</v>
      </c>
      <c r="G379" s="4">
        <v>50000</v>
      </c>
      <c r="H379" s="4">
        <v>30000</v>
      </c>
      <c r="I379" s="13">
        <v>2000000</v>
      </c>
      <c r="J379" s="4">
        <v>60</v>
      </c>
      <c r="K379" s="4">
        <v>1</v>
      </c>
      <c r="L379" s="4" t="s">
        <v>14</v>
      </c>
      <c r="M379" s="4" t="s">
        <v>15</v>
      </c>
      <c r="N379" s="4" t="s">
        <v>623</v>
      </c>
      <c r="O379" s="4" t="s">
        <v>625</v>
      </c>
      <c r="P379" s="5">
        <v>0.18</v>
      </c>
      <c r="Q379" s="14">
        <f>PMT($V$27/12,$V$30,-$V$26)</f>
        <v>50786.854854218167</v>
      </c>
      <c r="R379" s="4">
        <v>600000</v>
      </c>
      <c r="S379" s="2" t="s">
        <v>17</v>
      </c>
    </row>
    <row r="380" spans="1:19" x14ac:dyDescent="0.3">
      <c r="A380" s="4">
        <v>379</v>
      </c>
      <c r="B380" s="4" t="s">
        <v>399</v>
      </c>
      <c r="C380" s="4" t="s">
        <v>11</v>
      </c>
      <c r="D380" s="4" t="s">
        <v>12</v>
      </c>
      <c r="E380" s="4" t="s">
        <v>22</v>
      </c>
      <c r="F380" s="4" t="s">
        <v>12</v>
      </c>
      <c r="G380" s="4">
        <v>65000</v>
      </c>
      <c r="H380" s="4">
        <v>20000</v>
      </c>
      <c r="I380" s="13">
        <v>800000</v>
      </c>
      <c r="J380" s="4">
        <v>60</v>
      </c>
      <c r="K380" s="4">
        <v>1</v>
      </c>
      <c r="L380" s="4" t="s">
        <v>27</v>
      </c>
      <c r="M380" s="4" t="s">
        <v>15</v>
      </c>
      <c r="N380" s="4" t="s">
        <v>623</v>
      </c>
      <c r="O380" s="4" t="s">
        <v>625</v>
      </c>
      <c r="P380" s="5">
        <v>0.18</v>
      </c>
      <c r="Q380" s="14">
        <f>PMT($V$33/12,$V$36,-$V$32)</f>
        <v>20314.741941687265</v>
      </c>
      <c r="R380" s="4">
        <v>600000</v>
      </c>
      <c r="S380" s="2" t="s">
        <v>12</v>
      </c>
    </row>
    <row r="381" spans="1:19" x14ac:dyDescent="0.3">
      <c r="A381" s="4">
        <v>380</v>
      </c>
      <c r="B381" s="4" t="s">
        <v>400</v>
      </c>
      <c r="C381" s="4" t="s">
        <v>11</v>
      </c>
      <c r="D381" s="4" t="s">
        <v>17</v>
      </c>
      <c r="E381" s="4" t="s">
        <v>22</v>
      </c>
      <c r="F381" s="4" t="s">
        <v>12</v>
      </c>
      <c r="G381" s="4">
        <v>55000</v>
      </c>
      <c r="H381" s="4">
        <v>25000</v>
      </c>
      <c r="I381" s="13">
        <v>1000000</v>
      </c>
      <c r="J381" s="4">
        <v>60</v>
      </c>
      <c r="K381" s="4">
        <v>0</v>
      </c>
      <c r="L381" s="4" t="s">
        <v>14</v>
      </c>
      <c r="M381" s="4" t="s">
        <v>19</v>
      </c>
      <c r="N381" s="4" t="s">
        <v>623</v>
      </c>
      <c r="O381" s="4" t="s">
        <v>625</v>
      </c>
      <c r="P381" s="5">
        <v>0.18</v>
      </c>
      <c r="Q381" s="14">
        <f>PMT($V$3/12,$V$6,-$V$2)</f>
        <v>25393.427427109084</v>
      </c>
      <c r="R381" s="4">
        <v>545000</v>
      </c>
      <c r="S381" s="2" t="s">
        <v>12</v>
      </c>
    </row>
    <row r="382" spans="1:19" x14ac:dyDescent="0.3">
      <c r="A382" s="4">
        <v>381</v>
      </c>
      <c r="B382" s="4" t="s">
        <v>401</v>
      </c>
      <c r="C382" s="4" t="s">
        <v>11</v>
      </c>
      <c r="D382" s="4" t="s">
        <v>17</v>
      </c>
      <c r="E382" s="4" t="s">
        <v>13</v>
      </c>
      <c r="F382" s="4" t="s">
        <v>12</v>
      </c>
      <c r="G382" s="4">
        <v>45000</v>
      </c>
      <c r="H382" s="4">
        <v>44000</v>
      </c>
      <c r="I382" s="13">
        <v>840000</v>
      </c>
      <c r="J382" s="4">
        <v>60</v>
      </c>
      <c r="K382" s="4">
        <v>1</v>
      </c>
      <c r="L382" s="4" t="s">
        <v>14</v>
      </c>
      <c r="M382" s="4" t="s">
        <v>15</v>
      </c>
      <c r="N382" s="4" t="s">
        <v>623</v>
      </c>
      <c r="O382" s="4" t="s">
        <v>625</v>
      </c>
      <c r="P382" s="5">
        <v>0.18</v>
      </c>
      <c r="Q382" s="14">
        <f>PMT($AB$27/12,$AB$30,-$AB$26)</f>
        <v>21330.479038771631</v>
      </c>
      <c r="R382" s="4">
        <v>452000</v>
      </c>
      <c r="S382" s="2" t="s">
        <v>12</v>
      </c>
    </row>
    <row r="383" spans="1:19" x14ac:dyDescent="0.3">
      <c r="A383" s="4">
        <v>382</v>
      </c>
      <c r="B383" s="4" t="s">
        <v>402</v>
      </c>
      <c r="C383" s="4" t="s">
        <v>11</v>
      </c>
      <c r="D383" s="4" t="s">
        <v>17</v>
      </c>
      <c r="E383" s="4" t="s">
        <v>13</v>
      </c>
      <c r="F383" s="4" t="s">
        <v>12</v>
      </c>
      <c r="G383" s="4">
        <v>54000</v>
      </c>
      <c r="H383" s="4">
        <v>0</v>
      </c>
      <c r="I383" s="13">
        <v>550000</v>
      </c>
      <c r="J383" s="4">
        <v>60</v>
      </c>
      <c r="K383" s="4">
        <v>1</v>
      </c>
      <c r="L383" s="4" t="s">
        <v>18</v>
      </c>
      <c r="M383" s="4" t="s">
        <v>15</v>
      </c>
      <c r="N383" s="4" t="s">
        <v>623</v>
      </c>
      <c r="O383" s="4" t="s">
        <v>625</v>
      </c>
      <c r="P383" s="5">
        <v>0.18</v>
      </c>
      <c r="Q383" s="14">
        <f>PMT($AB$33/12,$AB$36,-$AB$32)</f>
        <v>13966.385084909996</v>
      </c>
      <c r="R383" s="4">
        <v>400000</v>
      </c>
      <c r="S383" s="2" t="s">
        <v>17</v>
      </c>
    </row>
    <row r="384" spans="1:19" x14ac:dyDescent="0.3">
      <c r="A384" s="4">
        <v>383</v>
      </c>
      <c r="B384" s="4" t="s">
        <v>403</v>
      </c>
      <c r="C384" s="4" t="s">
        <v>11</v>
      </c>
      <c r="D384" s="4" t="s">
        <v>12</v>
      </c>
      <c r="E384" s="4" t="s">
        <v>13</v>
      </c>
      <c r="F384" s="4" t="s">
        <v>12</v>
      </c>
      <c r="G384" s="4">
        <v>87000</v>
      </c>
      <c r="H384" s="4">
        <v>0</v>
      </c>
      <c r="I384" s="13">
        <v>1000000</v>
      </c>
      <c r="J384" s="4">
        <v>60</v>
      </c>
      <c r="K384" s="4">
        <v>1</v>
      </c>
      <c r="L384" s="4" t="s">
        <v>18</v>
      </c>
      <c r="M384" s="4" t="s">
        <v>15</v>
      </c>
      <c r="N384" s="4" t="s">
        <v>623</v>
      </c>
      <c r="O384" s="4" t="s">
        <v>625</v>
      </c>
      <c r="P384" s="5">
        <v>0.18</v>
      </c>
      <c r="Q384" s="14">
        <f>PMT($V$3/12,$V$6,-$V$2)</f>
        <v>25393.427427109084</v>
      </c>
      <c r="R384" s="4">
        <v>700000</v>
      </c>
      <c r="S384" s="2" t="s">
        <v>12</v>
      </c>
    </row>
    <row r="385" spans="1:19" x14ac:dyDescent="0.3">
      <c r="A385" s="4">
        <v>384</v>
      </c>
      <c r="B385" s="4" t="s">
        <v>404</v>
      </c>
      <c r="C385" s="4" t="s">
        <v>11</v>
      </c>
      <c r="D385" s="4" t="s">
        <v>17</v>
      </c>
      <c r="E385" s="4" t="s">
        <v>13</v>
      </c>
      <c r="F385" s="4" t="s">
        <v>12</v>
      </c>
      <c r="G385" s="4">
        <v>24601</v>
      </c>
      <c r="H385" s="4">
        <v>0</v>
      </c>
      <c r="I385" s="13">
        <v>423601</v>
      </c>
      <c r="J385" s="4">
        <v>60</v>
      </c>
      <c r="K385" s="4">
        <v>1</v>
      </c>
      <c r="L385" s="4" t="s">
        <v>18</v>
      </c>
      <c r="M385" s="4" t="s">
        <v>15</v>
      </c>
      <c r="N385" s="4" t="s">
        <v>623</v>
      </c>
      <c r="O385" s="4" t="s">
        <v>625</v>
      </c>
      <c r="P385" s="5">
        <v>0.18</v>
      </c>
      <c r="Q385" s="14">
        <f>PMT($AB$39/12,$AB$42,-$AB$38)</f>
        <v>10756.681251550835</v>
      </c>
      <c r="R385" s="4" t="s">
        <v>635</v>
      </c>
      <c r="S385" s="2" t="s">
        <v>17</v>
      </c>
    </row>
    <row r="386" spans="1:19" x14ac:dyDescent="0.3">
      <c r="A386" s="4">
        <v>385</v>
      </c>
      <c r="B386" s="4" t="s">
        <v>405</v>
      </c>
      <c r="C386" s="4" t="s">
        <v>11</v>
      </c>
      <c r="D386" s="4" t="s">
        <v>17</v>
      </c>
      <c r="E386" s="4" t="s">
        <v>13</v>
      </c>
      <c r="F386" s="4" t="s">
        <v>12</v>
      </c>
      <c r="G386" s="4">
        <v>75000</v>
      </c>
      <c r="H386" s="4">
        <v>0</v>
      </c>
      <c r="I386" s="13">
        <v>358000</v>
      </c>
      <c r="J386" s="4">
        <v>60</v>
      </c>
      <c r="K386" s="4">
        <v>0</v>
      </c>
      <c r="L386" s="4" t="s">
        <v>14</v>
      </c>
      <c r="M386" s="4" t="s">
        <v>15</v>
      </c>
      <c r="N386" s="4" t="s">
        <v>623</v>
      </c>
      <c r="O386" s="4" t="s">
        <v>625</v>
      </c>
      <c r="P386" s="5">
        <v>0.18</v>
      </c>
      <c r="Q386" s="14">
        <f>PMT($AB$45/12,$AB$48,-$AB$44)</f>
        <v>9090.8470189050531</v>
      </c>
      <c r="R386" s="4">
        <v>452000</v>
      </c>
      <c r="S386" s="2" t="s">
        <v>12</v>
      </c>
    </row>
    <row r="387" spans="1:19" x14ac:dyDescent="0.3">
      <c r="A387" s="4">
        <v>386</v>
      </c>
      <c r="B387" s="4" t="s">
        <v>406</v>
      </c>
      <c r="C387" s="4" t="s">
        <v>11</v>
      </c>
      <c r="D387" s="4" t="s">
        <v>17</v>
      </c>
      <c r="E387" s="4" t="s">
        <v>22</v>
      </c>
      <c r="F387" s="4" t="s">
        <v>12</v>
      </c>
      <c r="G387" s="4">
        <v>69700</v>
      </c>
      <c r="H387" s="4">
        <v>0</v>
      </c>
      <c r="I387" s="13">
        <v>587000</v>
      </c>
      <c r="J387" s="4">
        <v>60</v>
      </c>
      <c r="K387" s="4">
        <v>1</v>
      </c>
      <c r="L387" s="4" t="s">
        <v>27</v>
      </c>
      <c r="M387" s="4" t="s">
        <v>15</v>
      </c>
      <c r="N387" s="4" t="s">
        <v>623</v>
      </c>
      <c r="O387" s="4" t="s">
        <v>625</v>
      </c>
      <c r="P387" s="5">
        <v>0.18</v>
      </c>
      <c r="Q387" s="14">
        <f>PMT($AB$51/12,$AB$54,-$AB$50)</f>
        <v>14905.941899713032</v>
      </c>
      <c r="R387" s="4">
        <v>687000</v>
      </c>
      <c r="S387" s="2" t="s">
        <v>17</v>
      </c>
    </row>
    <row r="388" spans="1:19" x14ac:dyDescent="0.3">
      <c r="A388" s="4">
        <v>387</v>
      </c>
      <c r="B388" s="4" t="s">
        <v>407</v>
      </c>
      <c r="C388" s="4" t="s">
        <v>11</v>
      </c>
      <c r="D388" s="4" t="s">
        <v>17</v>
      </c>
      <c r="E388" s="4" t="s">
        <v>13</v>
      </c>
      <c r="F388" s="4" t="s">
        <v>12</v>
      </c>
      <c r="G388" s="4">
        <v>52400</v>
      </c>
      <c r="H388" s="4">
        <v>48733</v>
      </c>
      <c r="I388" s="13">
        <v>789000</v>
      </c>
      <c r="J388" s="4">
        <v>60</v>
      </c>
      <c r="K388" s="4">
        <v>1</v>
      </c>
      <c r="L388" s="4" t="s">
        <v>14</v>
      </c>
      <c r="M388" s="4" t="s">
        <v>15</v>
      </c>
      <c r="N388" s="4" t="s">
        <v>623</v>
      </c>
      <c r="O388" s="4" t="s">
        <v>625</v>
      </c>
      <c r="P388" s="5">
        <v>0.18</v>
      </c>
      <c r="Q388" s="14">
        <f>PMT($V$45/12,$V$48,-$V$44)</f>
        <v>20035.414239989066</v>
      </c>
      <c r="R388" s="4">
        <v>860000</v>
      </c>
      <c r="S388" s="2" t="s">
        <v>17</v>
      </c>
    </row>
    <row r="389" spans="1:19" x14ac:dyDescent="0.3">
      <c r="A389" s="4">
        <v>388</v>
      </c>
      <c r="B389" s="4" t="s">
        <v>408</v>
      </c>
      <c r="C389" s="4" t="s">
        <v>11</v>
      </c>
      <c r="D389" s="4" t="s">
        <v>17</v>
      </c>
      <c r="E389" s="4" t="s">
        <v>13</v>
      </c>
      <c r="F389" s="4" t="s">
        <v>12</v>
      </c>
      <c r="G389" s="4">
        <v>47860</v>
      </c>
      <c r="H389" s="4">
        <v>24970</v>
      </c>
      <c r="I389" s="13">
        <v>975000</v>
      </c>
      <c r="J389" s="4">
        <v>60</v>
      </c>
      <c r="K389" s="4">
        <v>0</v>
      </c>
      <c r="L389" s="4" t="s">
        <v>27</v>
      </c>
      <c r="M389" s="4" t="s">
        <v>15</v>
      </c>
      <c r="N389" s="4" t="s">
        <v>623</v>
      </c>
      <c r="O389" s="4" t="s">
        <v>625</v>
      </c>
      <c r="P389" s="5">
        <v>0.18</v>
      </c>
      <c r="Q389" s="14">
        <f>PMT($Y$45/12,$Y$48,-$Y$44)</f>
        <v>24758.591741431355</v>
      </c>
      <c r="R389" s="4">
        <v>760000</v>
      </c>
      <c r="S389" s="2" t="s">
        <v>12</v>
      </c>
    </row>
    <row r="390" spans="1:19" x14ac:dyDescent="0.3">
      <c r="A390" s="4">
        <v>389</v>
      </c>
      <c r="B390" s="4" t="s">
        <v>409</v>
      </c>
      <c r="C390" s="4" t="s">
        <v>38</v>
      </c>
      <c r="D390" s="4" t="s">
        <v>12</v>
      </c>
      <c r="E390" s="4" t="s">
        <v>13</v>
      </c>
      <c r="F390" s="4" t="s">
        <v>12</v>
      </c>
      <c r="G390" s="4">
        <v>56980</v>
      </c>
      <c r="H390" s="4">
        <v>25600</v>
      </c>
      <c r="I390" s="13">
        <v>849300</v>
      </c>
      <c r="J390" s="4">
        <v>60</v>
      </c>
      <c r="K390" s="4">
        <v>0</v>
      </c>
      <c r="L390" s="4" t="s">
        <v>14</v>
      </c>
      <c r="M390" s="4" t="s">
        <v>19</v>
      </c>
      <c r="N390" s="4" t="s">
        <v>623</v>
      </c>
      <c r="O390" s="4" t="s">
        <v>625</v>
      </c>
      <c r="P390" s="5">
        <v>0.18</v>
      </c>
      <c r="Q390" s="14">
        <f>PMT($V$51/12,$V$54,-$V$50)</f>
        <v>21566.637913843744</v>
      </c>
      <c r="R390" s="4">
        <v>740000</v>
      </c>
      <c r="S390" s="2" t="s">
        <v>12</v>
      </c>
    </row>
    <row r="391" spans="1:19" x14ac:dyDescent="0.3">
      <c r="A391" s="4">
        <v>390</v>
      </c>
      <c r="B391" s="4" t="s">
        <v>410</v>
      </c>
      <c r="C391" s="4" t="s">
        <v>11</v>
      </c>
      <c r="D391" s="4" t="s">
        <v>17</v>
      </c>
      <c r="E391" s="4" t="s">
        <v>13</v>
      </c>
      <c r="F391" s="4" t="s">
        <v>12</v>
      </c>
      <c r="G391" s="4">
        <v>49800</v>
      </c>
      <c r="H391" s="4">
        <v>0</v>
      </c>
      <c r="I391" s="13">
        <v>487500</v>
      </c>
      <c r="J391" s="4">
        <v>60</v>
      </c>
      <c r="K391" s="4">
        <v>1</v>
      </c>
      <c r="L391" s="4" t="s">
        <v>14</v>
      </c>
      <c r="M391" s="4" t="s">
        <v>15</v>
      </c>
      <c r="N391" s="4" t="s">
        <v>623</v>
      </c>
      <c r="O391" s="4" t="s">
        <v>625</v>
      </c>
      <c r="P391" s="5">
        <v>0.18</v>
      </c>
      <c r="Q391" s="14">
        <f>PMT($Y$51/12,$Y$54,-$Y$50)</f>
        <v>12379.295870715678</v>
      </c>
      <c r="R391" s="4">
        <v>358000</v>
      </c>
      <c r="S391" s="2" t="s">
        <v>12</v>
      </c>
    </row>
    <row r="392" spans="1:19" x14ac:dyDescent="0.3">
      <c r="A392" s="4">
        <v>391</v>
      </c>
      <c r="B392" s="4" t="s">
        <v>411</v>
      </c>
      <c r="C392" s="4" t="s">
        <v>11</v>
      </c>
      <c r="D392" s="4" t="s">
        <v>12</v>
      </c>
      <c r="E392" s="4" t="s">
        <v>22</v>
      </c>
      <c r="F392" s="4" t="s">
        <v>12</v>
      </c>
      <c r="G392" s="4">
        <v>58799</v>
      </c>
      <c r="H392" s="4">
        <v>26870</v>
      </c>
      <c r="I392" s="13">
        <v>875644</v>
      </c>
      <c r="J392" s="4">
        <v>60</v>
      </c>
      <c r="K392" s="4">
        <v>1</v>
      </c>
      <c r="L392" s="4" t="s">
        <v>18</v>
      </c>
      <c r="M392" s="4" t="s">
        <v>15</v>
      </c>
      <c r="N392" s="4" t="s">
        <v>623</v>
      </c>
      <c r="O392" s="4" t="s">
        <v>625</v>
      </c>
      <c r="P392" s="5">
        <v>0.18</v>
      </c>
      <c r="Q392" s="14">
        <f>PMT($V$57/12,$V$60,-$V$56)</f>
        <v>22235.602365983505</v>
      </c>
      <c r="R392" s="4">
        <v>642000</v>
      </c>
      <c r="S392" s="2" t="s">
        <v>12</v>
      </c>
    </row>
    <row r="393" spans="1:19" x14ac:dyDescent="0.3">
      <c r="A393" s="4">
        <v>392</v>
      </c>
      <c r="B393" s="4" t="s">
        <v>412</v>
      </c>
      <c r="C393" s="4" t="s">
        <v>38</v>
      </c>
      <c r="D393" s="4" t="s">
        <v>12</v>
      </c>
      <c r="E393" s="4" t="s">
        <v>13</v>
      </c>
      <c r="F393" s="4" t="s">
        <v>12</v>
      </c>
      <c r="G393" s="4">
        <v>48799</v>
      </c>
      <c r="H393" s="4">
        <v>34690</v>
      </c>
      <c r="I393" s="13">
        <v>654420</v>
      </c>
      <c r="J393" s="4">
        <v>60</v>
      </c>
      <c r="K393" s="4">
        <v>0</v>
      </c>
      <c r="L393" s="4" t="s">
        <v>27</v>
      </c>
      <c r="M393" s="4" t="s">
        <v>19</v>
      </c>
      <c r="N393" s="4" t="s">
        <v>623</v>
      </c>
      <c r="O393" s="4" t="s">
        <v>625</v>
      </c>
      <c r="P393" s="5">
        <v>0.18</v>
      </c>
      <c r="Q393" s="14">
        <f>PMT($Y$57/12,$Y$60,-$Y$56)</f>
        <v>16617.966776848727</v>
      </c>
      <c r="R393" s="4">
        <v>542000</v>
      </c>
      <c r="S393" s="2" t="s">
        <v>12</v>
      </c>
    </row>
    <row r="394" spans="1:19" x14ac:dyDescent="0.3">
      <c r="A394" s="4">
        <v>393</v>
      </c>
      <c r="B394" s="4" t="s">
        <v>413</v>
      </c>
      <c r="C394" s="4" t="s">
        <v>11</v>
      </c>
      <c r="D394" s="4" t="s">
        <v>17</v>
      </c>
      <c r="E394" s="4" t="s">
        <v>22</v>
      </c>
      <c r="F394" s="4" t="s">
        <v>12</v>
      </c>
      <c r="G394" s="4">
        <v>35000</v>
      </c>
      <c r="H394" s="4">
        <v>48700</v>
      </c>
      <c r="I394" s="13">
        <v>800000</v>
      </c>
      <c r="J394" s="4">
        <v>60</v>
      </c>
      <c r="K394" s="4">
        <v>0</v>
      </c>
      <c r="L394" s="4" t="s">
        <v>14</v>
      </c>
      <c r="M394" s="4" t="s">
        <v>19</v>
      </c>
      <c r="N394" s="4" t="s">
        <v>623</v>
      </c>
      <c r="O394" s="4" t="s">
        <v>625</v>
      </c>
      <c r="P394" s="5">
        <v>0.18</v>
      </c>
      <c r="Q394" s="14">
        <f>PMT($V$33/12,$V$36,-$V$32)</f>
        <v>20314.741941687265</v>
      </c>
      <c r="R394" s="4">
        <v>521000</v>
      </c>
      <c r="S394" s="2" t="s">
        <v>12</v>
      </c>
    </row>
    <row r="395" spans="1:19" x14ac:dyDescent="0.3">
      <c r="A395" s="4">
        <v>394</v>
      </c>
      <c r="B395" s="4" t="s">
        <v>414</v>
      </c>
      <c r="C395" s="4" t="s">
        <v>11</v>
      </c>
      <c r="D395" s="4" t="s">
        <v>12</v>
      </c>
      <c r="E395" s="4" t="s">
        <v>22</v>
      </c>
      <c r="F395" s="4" t="s">
        <v>12</v>
      </c>
      <c r="G395" s="4">
        <v>35000</v>
      </c>
      <c r="H395" s="4">
        <v>0</v>
      </c>
      <c r="I395" s="13">
        <v>620000</v>
      </c>
      <c r="J395" s="4">
        <v>60</v>
      </c>
      <c r="K395" s="4">
        <v>1</v>
      </c>
      <c r="L395" s="4" t="s">
        <v>18</v>
      </c>
      <c r="M395" s="4" t="s">
        <v>19</v>
      </c>
      <c r="N395" s="4" t="s">
        <v>623</v>
      </c>
      <c r="O395" s="4" t="s">
        <v>625</v>
      </c>
      <c r="P395" s="5">
        <v>0.18</v>
      </c>
      <c r="Q395" s="14">
        <f>PMT($AB$15/12,$AB$18,-$AB$14)</f>
        <v>15743.925004807632</v>
      </c>
      <c r="R395" s="4">
        <v>300000</v>
      </c>
      <c r="S395" s="2" t="s">
        <v>12</v>
      </c>
    </row>
    <row r="396" spans="1:19" x14ac:dyDescent="0.3">
      <c r="A396" s="4">
        <v>395</v>
      </c>
      <c r="B396" s="4" t="s">
        <v>415</v>
      </c>
      <c r="C396" s="4" t="s">
        <v>11</v>
      </c>
      <c r="D396" s="4" t="s">
        <v>12</v>
      </c>
      <c r="E396" s="4" t="s">
        <v>13</v>
      </c>
      <c r="F396" s="4" t="s">
        <v>12</v>
      </c>
      <c r="G396" s="4">
        <v>21654</v>
      </c>
      <c r="H396" s="4">
        <v>14620</v>
      </c>
      <c r="I396" s="13">
        <v>489300</v>
      </c>
      <c r="J396" s="4">
        <v>60</v>
      </c>
      <c r="K396" s="4">
        <v>1</v>
      </c>
      <c r="L396" s="4" t="s">
        <v>27</v>
      </c>
      <c r="M396" s="4" t="s">
        <v>15</v>
      </c>
      <c r="N396" s="4" t="s">
        <v>623</v>
      </c>
      <c r="O396" s="4" t="s">
        <v>625</v>
      </c>
      <c r="P396" s="5">
        <v>0.18</v>
      </c>
      <c r="Q396" s="14">
        <f>PMT($AB$57/12,$AB$60,-$AB$56)</f>
        <v>12425.004040084474</v>
      </c>
      <c r="R396" s="4" t="s">
        <v>635</v>
      </c>
      <c r="S396" s="2" t="s">
        <v>12</v>
      </c>
    </row>
    <row r="397" spans="1:19" x14ac:dyDescent="0.3">
      <c r="A397" s="4">
        <v>396</v>
      </c>
      <c r="B397" s="4" t="s">
        <v>416</v>
      </c>
      <c r="C397" s="4" t="s">
        <v>38</v>
      </c>
      <c r="D397" s="4" t="s">
        <v>12</v>
      </c>
      <c r="E397" s="4" t="s">
        <v>22</v>
      </c>
      <c r="F397" s="4" t="s">
        <v>12</v>
      </c>
      <c r="G397" s="4">
        <v>25000</v>
      </c>
      <c r="H397" s="4">
        <v>0</v>
      </c>
      <c r="I397" s="13">
        <v>500000</v>
      </c>
      <c r="J397" s="4">
        <v>60</v>
      </c>
      <c r="K397" s="4">
        <v>1</v>
      </c>
      <c r="L397" s="4" t="s">
        <v>27</v>
      </c>
      <c r="M397" s="4" t="s">
        <v>15</v>
      </c>
      <c r="N397" s="4" t="s">
        <v>623</v>
      </c>
      <c r="O397" s="4" t="s">
        <v>625</v>
      </c>
      <c r="P397" s="5">
        <v>0.18</v>
      </c>
      <c r="Q397" s="14">
        <f>PMT($V$15/12,$V$18,-$V$14)</f>
        <v>12696.713713554542</v>
      </c>
      <c r="R397" s="4" t="s">
        <v>635</v>
      </c>
      <c r="S397" s="2" t="s">
        <v>12</v>
      </c>
    </row>
    <row r="398" spans="1:19" x14ac:dyDescent="0.3">
      <c r="A398" s="4">
        <v>397</v>
      </c>
      <c r="B398" s="4" t="s">
        <v>417</v>
      </c>
      <c r="C398" s="4" t="s">
        <v>38</v>
      </c>
      <c r="D398" s="4" t="s">
        <v>12</v>
      </c>
      <c r="E398" s="4" t="s">
        <v>13</v>
      </c>
      <c r="F398" s="4" t="s">
        <v>17</v>
      </c>
      <c r="G398" s="4">
        <v>35700</v>
      </c>
      <c r="H398" s="4">
        <v>0</v>
      </c>
      <c r="I398" s="13">
        <v>478000</v>
      </c>
      <c r="J398" s="4">
        <v>60</v>
      </c>
      <c r="K398" s="4">
        <v>1</v>
      </c>
      <c r="L398" s="4" t="s">
        <v>18</v>
      </c>
      <c r="M398" s="4" t="s">
        <v>19</v>
      </c>
      <c r="N398" s="4" t="s">
        <v>623</v>
      </c>
      <c r="O398" s="4" t="s">
        <v>625</v>
      </c>
      <c r="P398" s="5">
        <v>0.18</v>
      </c>
      <c r="Q398" s="14">
        <f>PMT($V$63/12,$V$66,-$V$62)</f>
        <v>12138.058310158141</v>
      </c>
      <c r="R398" s="4">
        <v>300000</v>
      </c>
      <c r="S398" s="2" t="s">
        <v>12</v>
      </c>
    </row>
    <row r="399" spans="1:19" x14ac:dyDescent="0.3">
      <c r="A399" s="4">
        <v>398</v>
      </c>
      <c r="B399" s="4" t="s">
        <v>418</v>
      </c>
      <c r="C399" s="4" t="s">
        <v>38</v>
      </c>
      <c r="D399" s="4" t="s">
        <v>12</v>
      </c>
      <c r="E399" s="4" t="s">
        <v>13</v>
      </c>
      <c r="F399" s="4" t="s">
        <v>12</v>
      </c>
      <c r="G399" s="4">
        <v>48550</v>
      </c>
      <c r="H399" s="4">
        <v>54800</v>
      </c>
      <c r="I399" s="13">
        <v>748890</v>
      </c>
      <c r="J399" s="4">
        <v>60</v>
      </c>
      <c r="K399" s="4">
        <v>1</v>
      </c>
      <c r="L399" s="4" t="s">
        <v>27</v>
      </c>
      <c r="M399" s="4" t="s">
        <v>15</v>
      </c>
      <c r="N399" s="4" t="s">
        <v>623</v>
      </c>
      <c r="O399" s="4" t="s">
        <v>625</v>
      </c>
      <c r="P399" s="5">
        <v>0.18</v>
      </c>
      <c r="Q399" s="14">
        <f>PMT($Y$63/12,$Y$66,-$Y$62)</f>
        <v>19016.883865887721</v>
      </c>
      <c r="R399" s="4">
        <v>541000</v>
      </c>
      <c r="S399" s="2" t="s">
        <v>17</v>
      </c>
    </row>
    <row r="400" spans="1:19" x14ac:dyDescent="0.3">
      <c r="A400" s="4">
        <v>399</v>
      </c>
      <c r="B400" s="4" t="s">
        <v>419</v>
      </c>
      <c r="C400" s="4" t="s">
        <v>11</v>
      </c>
      <c r="D400" s="4" t="s">
        <v>17</v>
      </c>
      <c r="E400" s="4" t="s">
        <v>22</v>
      </c>
      <c r="F400" s="4" t="s">
        <v>12</v>
      </c>
      <c r="G400" s="4">
        <v>150000</v>
      </c>
      <c r="H400" s="4">
        <v>0</v>
      </c>
      <c r="I400" s="13">
        <v>1500000</v>
      </c>
      <c r="J400" s="4">
        <v>60</v>
      </c>
      <c r="K400" s="4">
        <v>1</v>
      </c>
      <c r="L400" s="4" t="s">
        <v>14</v>
      </c>
      <c r="M400" s="4" t="s">
        <v>15</v>
      </c>
      <c r="N400" s="4" t="s">
        <v>623</v>
      </c>
      <c r="O400" s="4" t="s">
        <v>625</v>
      </c>
      <c r="P400" s="5">
        <v>0.18</v>
      </c>
      <c r="Q400" s="14">
        <f>PMT($V$9/12,$V$12,-$V$8)</f>
        <v>38090.141140663625</v>
      </c>
      <c r="R400" s="4">
        <v>900000</v>
      </c>
      <c r="S400" s="2" t="s">
        <v>12</v>
      </c>
    </row>
    <row r="401" spans="1:19" x14ac:dyDescent="0.3">
      <c r="A401" s="4">
        <v>400</v>
      </c>
      <c r="B401" s="4" t="s">
        <v>420</v>
      </c>
      <c r="C401" s="4" t="s">
        <v>38</v>
      </c>
      <c r="D401" s="4" t="s">
        <v>12</v>
      </c>
      <c r="E401" s="4" t="s">
        <v>22</v>
      </c>
      <c r="F401" s="4" t="s">
        <v>12</v>
      </c>
      <c r="G401" s="4">
        <v>50000</v>
      </c>
      <c r="H401" s="4">
        <v>0</v>
      </c>
      <c r="I401" s="13">
        <v>1000000</v>
      </c>
      <c r="J401" s="4">
        <v>60</v>
      </c>
      <c r="K401" s="4">
        <v>1</v>
      </c>
      <c r="L401" s="4" t="s">
        <v>18</v>
      </c>
      <c r="M401" s="4" t="s">
        <v>15</v>
      </c>
      <c r="N401" s="4" t="s">
        <v>623</v>
      </c>
      <c r="O401" s="4" t="s">
        <v>625</v>
      </c>
      <c r="P401" s="5">
        <v>0.18</v>
      </c>
      <c r="Q401" s="14">
        <f>PMT($V$3/12,$V$6,-$V$2)</f>
        <v>25393.427427109084</v>
      </c>
      <c r="R401" s="4">
        <v>578000</v>
      </c>
      <c r="S401" s="2" t="s">
        <v>12</v>
      </c>
    </row>
    <row r="402" spans="1:19" x14ac:dyDescent="0.3">
      <c r="A402" s="4">
        <v>401</v>
      </c>
      <c r="B402" s="4" t="s">
        <v>421</v>
      </c>
      <c r="C402" s="4" t="s">
        <v>11</v>
      </c>
      <c r="D402" s="4" t="s">
        <v>17</v>
      </c>
      <c r="E402" s="4" t="s">
        <v>13</v>
      </c>
      <c r="F402" s="4" t="s">
        <v>12</v>
      </c>
      <c r="G402" s="4">
        <v>100000</v>
      </c>
      <c r="H402" s="4">
        <v>35000</v>
      </c>
      <c r="I402" s="13">
        <v>1500000</v>
      </c>
      <c r="J402" s="4">
        <v>60</v>
      </c>
      <c r="K402" s="4">
        <v>0</v>
      </c>
      <c r="L402" s="4" t="s">
        <v>27</v>
      </c>
      <c r="M402" s="4" t="s">
        <v>19</v>
      </c>
      <c r="N402" s="4" t="s">
        <v>623</v>
      </c>
      <c r="O402" s="4" t="s">
        <v>625</v>
      </c>
      <c r="P402" s="5">
        <v>0.18</v>
      </c>
      <c r="Q402" s="14">
        <f t="shared" ref="Q402:Q403" si="34">PMT($V$9/12,$V$12,-$V$8)</f>
        <v>38090.141140663625</v>
      </c>
      <c r="R402" s="4">
        <v>1000000</v>
      </c>
      <c r="S402" s="2" t="s">
        <v>12</v>
      </c>
    </row>
    <row r="403" spans="1:19" x14ac:dyDescent="0.3">
      <c r="A403" s="4">
        <v>402</v>
      </c>
      <c r="B403" s="4" t="s">
        <v>422</v>
      </c>
      <c r="C403" s="4" t="s">
        <v>11</v>
      </c>
      <c r="D403" s="4" t="s">
        <v>17</v>
      </c>
      <c r="E403" s="4" t="s">
        <v>13</v>
      </c>
      <c r="F403" s="4" t="s">
        <v>12</v>
      </c>
      <c r="G403" s="4">
        <v>80000</v>
      </c>
      <c r="H403" s="4">
        <v>0</v>
      </c>
      <c r="I403" s="13">
        <v>1500000</v>
      </c>
      <c r="J403" s="4">
        <v>60</v>
      </c>
      <c r="K403" s="4">
        <v>0</v>
      </c>
      <c r="L403" s="4" t="s">
        <v>18</v>
      </c>
      <c r="M403" s="4" t="s">
        <v>19</v>
      </c>
      <c r="N403" s="4" t="s">
        <v>623</v>
      </c>
      <c r="O403" s="4" t="s">
        <v>625</v>
      </c>
      <c r="P403" s="5">
        <v>0.18</v>
      </c>
      <c r="Q403" s="14">
        <f t="shared" si="34"/>
        <v>38090.141140663625</v>
      </c>
      <c r="R403" s="4">
        <v>740000</v>
      </c>
      <c r="S403" s="2" t="s">
        <v>12</v>
      </c>
    </row>
    <row r="404" spans="1:19" x14ac:dyDescent="0.3">
      <c r="A404" s="4">
        <v>403</v>
      </c>
      <c r="B404" s="4" t="s">
        <v>423</v>
      </c>
      <c r="C404" s="4" t="s">
        <v>38</v>
      </c>
      <c r="D404" s="4" t="s">
        <v>12</v>
      </c>
      <c r="E404" s="4" t="s">
        <v>22</v>
      </c>
      <c r="F404" s="4" t="s">
        <v>17</v>
      </c>
      <c r="G404" s="4">
        <v>50000</v>
      </c>
      <c r="H404" s="4">
        <v>0</v>
      </c>
      <c r="I404" s="13">
        <v>500000</v>
      </c>
      <c r="J404" s="4">
        <v>60</v>
      </c>
      <c r="K404" s="4">
        <v>1</v>
      </c>
      <c r="L404" s="4" t="s">
        <v>27</v>
      </c>
      <c r="M404" s="4" t="s">
        <v>19</v>
      </c>
      <c r="N404" s="4" t="s">
        <v>623</v>
      </c>
      <c r="O404" s="4" t="s">
        <v>625</v>
      </c>
      <c r="P404" s="5">
        <v>0.18</v>
      </c>
      <c r="Q404" s="14">
        <f>PMT($V$15/12,$V$18,-$V$14)</f>
        <v>12696.713713554542</v>
      </c>
      <c r="R404" s="4">
        <v>450000</v>
      </c>
      <c r="S404" s="2" t="s">
        <v>17</v>
      </c>
    </row>
    <row r="405" spans="1:19" x14ac:dyDescent="0.3">
      <c r="A405" s="4">
        <v>404</v>
      </c>
      <c r="B405" s="4" t="s">
        <v>424</v>
      </c>
      <c r="C405" s="4" t="s">
        <v>11</v>
      </c>
      <c r="D405" s="4" t="s">
        <v>17</v>
      </c>
      <c r="E405" s="4" t="s">
        <v>13</v>
      </c>
      <c r="F405" s="4" t="s">
        <v>17</v>
      </c>
      <c r="G405" s="4">
        <v>200000</v>
      </c>
      <c r="H405" s="4">
        <v>50000</v>
      </c>
      <c r="I405" s="13">
        <v>3000000</v>
      </c>
      <c r="J405" s="4">
        <v>60</v>
      </c>
      <c r="K405" s="4">
        <v>0</v>
      </c>
      <c r="L405" s="4" t="s">
        <v>14</v>
      </c>
      <c r="M405" s="4" t="s">
        <v>15</v>
      </c>
      <c r="N405" s="4" t="s">
        <v>623</v>
      </c>
      <c r="O405" s="4" t="s">
        <v>625</v>
      </c>
      <c r="P405" s="5">
        <v>0.18</v>
      </c>
      <c r="Q405" s="14">
        <f>PMT($Y$81/12,$Y$84,-$Y$80)</f>
        <v>76180.282281327251</v>
      </c>
      <c r="R405" s="4">
        <v>1500000</v>
      </c>
      <c r="S405" s="2" t="s">
        <v>12</v>
      </c>
    </row>
    <row r="406" spans="1:19" x14ac:dyDescent="0.3">
      <c r="A406" s="4">
        <v>405</v>
      </c>
      <c r="B406" s="4" t="s">
        <v>425</v>
      </c>
      <c r="C406" s="4" t="s">
        <v>11</v>
      </c>
      <c r="D406" s="4" t="s">
        <v>17</v>
      </c>
      <c r="E406" s="4" t="s">
        <v>22</v>
      </c>
      <c r="F406" s="4" t="s">
        <v>12</v>
      </c>
      <c r="G406" s="4">
        <v>75000</v>
      </c>
      <c r="H406" s="4">
        <v>25000</v>
      </c>
      <c r="I406" s="13">
        <v>1000000</v>
      </c>
      <c r="J406" s="4">
        <v>60</v>
      </c>
      <c r="K406" s="4">
        <v>0</v>
      </c>
      <c r="L406" s="4" t="s">
        <v>18</v>
      </c>
      <c r="M406" s="4" t="s">
        <v>19</v>
      </c>
      <c r="N406" s="4" t="s">
        <v>623</v>
      </c>
      <c r="O406" s="4" t="s">
        <v>625</v>
      </c>
      <c r="P406" s="5">
        <v>0.18</v>
      </c>
      <c r="Q406" s="14">
        <f>PMT($V$3/12,$V$6,-$V$2)</f>
        <v>25393.427427109084</v>
      </c>
      <c r="R406" s="4">
        <v>860000</v>
      </c>
      <c r="S406" s="2" t="s">
        <v>12</v>
      </c>
    </row>
    <row r="407" spans="1:19" x14ac:dyDescent="0.3">
      <c r="A407" s="4">
        <v>406</v>
      </c>
      <c r="B407" s="4" t="s">
        <v>426</v>
      </c>
      <c r="C407" s="4" t="s">
        <v>11</v>
      </c>
      <c r="D407" s="4" t="s">
        <v>17</v>
      </c>
      <c r="E407" s="4" t="s">
        <v>22</v>
      </c>
      <c r="F407" s="4" t="s">
        <v>12</v>
      </c>
      <c r="G407" s="4">
        <v>50000</v>
      </c>
      <c r="H407" s="4">
        <v>35000</v>
      </c>
      <c r="I407" s="13">
        <v>1500000</v>
      </c>
      <c r="J407" s="4">
        <v>60</v>
      </c>
      <c r="K407" s="4">
        <v>1</v>
      </c>
      <c r="L407" s="4" t="s">
        <v>18</v>
      </c>
      <c r="M407" s="4" t="s">
        <v>15</v>
      </c>
      <c r="N407" s="4" t="s">
        <v>623</v>
      </c>
      <c r="O407" s="4" t="s">
        <v>625</v>
      </c>
      <c r="P407" s="5">
        <v>0.18</v>
      </c>
      <c r="Q407" s="14">
        <f>PMT($V$9/12,$V$12,-$V$8)</f>
        <v>38090.141140663625</v>
      </c>
      <c r="R407" s="4">
        <v>650000</v>
      </c>
      <c r="S407" s="2" t="s">
        <v>12</v>
      </c>
    </row>
    <row r="408" spans="1:19" x14ac:dyDescent="0.3">
      <c r="A408" s="4">
        <v>407</v>
      </c>
      <c r="B408" s="4" t="s">
        <v>427</v>
      </c>
      <c r="C408" s="4" t="s">
        <v>38</v>
      </c>
      <c r="D408" s="4" t="s">
        <v>17</v>
      </c>
      <c r="E408" s="4" t="s">
        <v>22</v>
      </c>
      <c r="F408" s="4" t="s">
        <v>12</v>
      </c>
      <c r="G408" s="4">
        <v>85000</v>
      </c>
      <c r="H408" s="4">
        <v>0</v>
      </c>
      <c r="I408" s="13">
        <v>1000000</v>
      </c>
      <c r="J408" s="4">
        <v>60</v>
      </c>
      <c r="K408" s="4">
        <v>0</v>
      </c>
      <c r="L408" s="4" t="s">
        <v>27</v>
      </c>
      <c r="M408" s="4" t="s">
        <v>19</v>
      </c>
      <c r="N408" s="4" t="s">
        <v>623</v>
      </c>
      <c r="O408" s="4" t="s">
        <v>625</v>
      </c>
      <c r="P408" s="5">
        <v>0.18</v>
      </c>
      <c r="Q408" s="14">
        <f>PMT($V$3/12,$V$6,-$V$2)</f>
        <v>25393.427427109084</v>
      </c>
      <c r="R408" s="4">
        <v>684000</v>
      </c>
      <c r="S408" s="2" t="s">
        <v>12</v>
      </c>
    </row>
    <row r="409" spans="1:19" x14ac:dyDescent="0.3">
      <c r="A409" s="4">
        <v>408</v>
      </c>
      <c r="B409" s="4" t="s">
        <v>428</v>
      </c>
      <c r="C409" s="4" t="s">
        <v>38</v>
      </c>
      <c r="D409" s="4" t="s">
        <v>12</v>
      </c>
      <c r="E409" s="4" t="s">
        <v>13</v>
      </c>
      <c r="F409" s="4" t="s">
        <v>12</v>
      </c>
      <c r="G409" s="4">
        <v>50000</v>
      </c>
      <c r="H409" s="4">
        <v>30000</v>
      </c>
      <c r="I409" s="13">
        <v>2000000</v>
      </c>
      <c r="J409" s="4">
        <v>60</v>
      </c>
      <c r="K409" s="4">
        <v>1</v>
      </c>
      <c r="L409" s="4" t="s">
        <v>14</v>
      </c>
      <c r="M409" s="4" t="s">
        <v>15</v>
      </c>
      <c r="N409" s="4" t="s">
        <v>623</v>
      </c>
      <c r="O409" s="4" t="s">
        <v>625</v>
      </c>
      <c r="P409" s="5">
        <v>0.18</v>
      </c>
      <c r="Q409" s="14">
        <f>PMT($V$27/12,$V$30,-$V$26)</f>
        <v>50786.854854218167</v>
      </c>
      <c r="R409" s="4">
        <v>610000</v>
      </c>
      <c r="S409" s="2" t="s">
        <v>12</v>
      </c>
    </row>
    <row r="410" spans="1:19" x14ac:dyDescent="0.3">
      <c r="A410" s="4">
        <v>409</v>
      </c>
      <c r="B410" s="4" t="s">
        <v>429</v>
      </c>
      <c r="C410" s="4" t="s">
        <v>38</v>
      </c>
      <c r="D410" s="4" t="s">
        <v>12</v>
      </c>
      <c r="E410" s="4" t="s">
        <v>13</v>
      </c>
      <c r="F410" s="4" t="s">
        <v>12</v>
      </c>
      <c r="G410" s="4">
        <v>65000</v>
      </c>
      <c r="H410" s="4">
        <v>20000</v>
      </c>
      <c r="I410" s="13">
        <v>800000</v>
      </c>
      <c r="J410" s="4">
        <v>60</v>
      </c>
      <c r="K410" s="4">
        <v>1</v>
      </c>
      <c r="L410" s="4" t="s">
        <v>14</v>
      </c>
      <c r="M410" s="4" t="s">
        <v>19</v>
      </c>
      <c r="N410" s="4" t="s">
        <v>623</v>
      </c>
      <c r="O410" s="4" t="s">
        <v>625</v>
      </c>
      <c r="P410" s="5">
        <v>0.18</v>
      </c>
      <c r="Q410" s="14">
        <f>PMT($V$33/12,$V$36,-$V$32)</f>
        <v>20314.741941687265</v>
      </c>
      <c r="R410" s="4">
        <v>710000</v>
      </c>
      <c r="S410" s="2" t="s">
        <v>17</v>
      </c>
    </row>
    <row r="411" spans="1:19" x14ac:dyDescent="0.3">
      <c r="A411" s="4">
        <v>410</v>
      </c>
      <c r="B411" s="4" t="s">
        <v>430</v>
      </c>
      <c r="C411" s="4" t="s">
        <v>11</v>
      </c>
      <c r="D411" s="4" t="s">
        <v>17</v>
      </c>
      <c r="E411" s="4" t="s">
        <v>13</v>
      </c>
      <c r="F411" s="4" t="s">
        <v>17</v>
      </c>
      <c r="G411" s="4">
        <v>55000</v>
      </c>
      <c r="H411" s="4">
        <v>25000</v>
      </c>
      <c r="I411" s="13">
        <v>1000000</v>
      </c>
      <c r="J411" s="4">
        <v>60</v>
      </c>
      <c r="K411" s="4">
        <v>1</v>
      </c>
      <c r="L411" s="4" t="s">
        <v>14</v>
      </c>
      <c r="M411" s="4" t="s">
        <v>19</v>
      </c>
      <c r="N411" s="4" t="s">
        <v>623</v>
      </c>
      <c r="O411" s="4" t="s">
        <v>625</v>
      </c>
      <c r="P411" s="5">
        <v>0.18</v>
      </c>
      <c r="Q411" s="14">
        <f t="shared" ref="Q411:Q412" si="35">PMT($V$3/12,$V$6,-$V$2)</f>
        <v>25393.427427109084</v>
      </c>
      <c r="R411" s="4">
        <v>542000</v>
      </c>
      <c r="S411" s="2" t="s">
        <v>17</v>
      </c>
    </row>
    <row r="412" spans="1:19" x14ac:dyDescent="0.3">
      <c r="A412" s="4">
        <v>411</v>
      </c>
      <c r="B412" s="4" t="s">
        <v>431</v>
      </c>
      <c r="C412" s="4" t="s">
        <v>11</v>
      </c>
      <c r="D412" s="4" t="s">
        <v>17</v>
      </c>
      <c r="E412" s="4" t="s">
        <v>13</v>
      </c>
      <c r="F412" s="4" t="s">
        <v>12</v>
      </c>
      <c r="G412" s="4">
        <v>50000</v>
      </c>
      <c r="H412" s="4">
        <v>0</v>
      </c>
      <c r="I412" s="13">
        <v>1000000</v>
      </c>
      <c r="J412" s="4">
        <v>60</v>
      </c>
      <c r="K412" s="4">
        <v>1</v>
      </c>
      <c r="L412" s="4" t="s">
        <v>18</v>
      </c>
      <c r="M412" s="4" t="s">
        <v>15</v>
      </c>
      <c r="N412" s="4" t="s">
        <v>623</v>
      </c>
      <c r="O412" s="4" t="s">
        <v>625</v>
      </c>
      <c r="P412" s="5">
        <v>0.18</v>
      </c>
      <c r="Q412" s="14">
        <f t="shared" si="35"/>
        <v>25393.427427109084</v>
      </c>
      <c r="R412" s="4">
        <v>400000</v>
      </c>
      <c r="S412" s="2" t="s">
        <v>17</v>
      </c>
    </row>
    <row r="413" spans="1:19" x14ac:dyDescent="0.3">
      <c r="A413" s="4">
        <v>412</v>
      </c>
      <c r="B413" s="4" t="s">
        <v>432</v>
      </c>
      <c r="C413" s="4" t="s">
        <v>11</v>
      </c>
      <c r="D413" s="4" t="s">
        <v>17</v>
      </c>
      <c r="E413" s="4" t="s">
        <v>13</v>
      </c>
      <c r="F413" s="4" t="s">
        <v>12</v>
      </c>
      <c r="G413" s="4">
        <v>100000</v>
      </c>
      <c r="H413" s="4">
        <v>35000</v>
      </c>
      <c r="I413" s="13">
        <v>1500000</v>
      </c>
      <c r="J413" s="4">
        <v>60</v>
      </c>
      <c r="K413" s="4">
        <v>1</v>
      </c>
      <c r="L413" s="4" t="s">
        <v>27</v>
      </c>
      <c r="M413" s="4" t="s">
        <v>15</v>
      </c>
      <c r="N413" s="4" t="s">
        <v>623</v>
      </c>
      <c r="O413" s="4" t="s">
        <v>625</v>
      </c>
      <c r="P413" s="5">
        <v>0.18</v>
      </c>
      <c r="Q413" s="14">
        <f t="shared" ref="Q413:Q414" si="36">PMT($V$9/12,$V$12,-$V$8)</f>
        <v>38090.141140663625</v>
      </c>
      <c r="R413" s="4">
        <v>900000</v>
      </c>
      <c r="S413" s="2" t="s">
        <v>12</v>
      </c>
    </row>
    <row r="414" spans="1:19" x14ac:dyDescent="0.3">
      <c r="A414" s="4">
        <v>413</v>
      </c>
      <c r="B414" s="4" t="s">
        <v>433</v>
      </c>
      <c r="C414" s="4" t="s">
        <v>11</v>
      </c>
      <c r="D414" s="4" t="s">
        <v>17</v>
      </c>
      <c r="E414" s="4" t="s">
        <v>13</v>
      </c>
      <c r="F414" s="4" t="s">
        <v>12</v>
      </c>
      <c r="G414" s="4">
        <v>50000</v>
      </c>
      <c r="H414" s="4">
        <v>35000</v>
      </c>
      <c r="I414" s="13">
        <v>1500000</v>
      </c>
      <c r="J414" s="4">
        <v>60</v>
      </c>
      <c r="K414" s="4">
        <v>1</v>
      </c>
      <c r="L414" s="4" t="s">
        <v>18</v>
      </c>
      <c r="M414" s="4" t="s">
        <v>15</v>
      </c>
      <c r="N414" s="4" t="s">
        <v>623</v>
      </c>
      <c r="O414" s="4" t="s">
        <v>625</v>
      </c>
      <c r="P414" s="5">
        <v>0.18</v>
      </c>
      <c r="Q414" s="14">
        <f t="shared" si="36"/>
        <v>38090.141140663625</v>
      </c>
      <c r="R414" s="4">
        <v>621000</v>
      </c>
      <c r="S414" s="2" t="s">
        <v>12</v>
      </c>
    </row>
    <row r="415" spans="1:19" x14ac:dyDescent="0.3">
      <c r="A415" s="4">
        <v>414</v>
      </c>
      <c r="B415" s="4" t="s">
        <v>434</v>
      </c>
      <c r="C415" s="4" t="s">
        <v>38</v>
      </c>
      <c r="D415" s="4" t="s">
        <v>12</v>
      </c>
      <c r="E415" s="4" t="s">
        <v>22</v>
      </c>
      <c r="F415" s="4" t="s">
        <v>12</v>
      </c>
      <c r="G415" s="4">
        <v>85000</v>
      </c>
      <c r="H415" s="4">
        <v>0</v>
      </c>
      <c r="I415" s="13">
        <v>1000000</v>
      </c>
      <c r="J415" s="4">
        <v>60</v>
      </c>
      <c r="K415" s="4">
        <v>0</v>
      </c>
      <c r="L415" s="4" t="s">
        <v>14</v>
      </c>
      <c r="M415" s="4" t="s">
        <v>19</v>
      </c>
      <c r="N415" s="4" t="s">
        <v>623</v>
      </c>
      <c r="O415" s="4" t="s">
        <v>625</v>
      </c>
      <c r="P415" s="5">
        <v>0.18</v>
      </c>
      <c r="Q415" s="14">
        <f>PMT($V$3/12,$V$6,-$V$2)</f>
        <v>25393.427427109084</v>
      </c>
      <c r="R415" s="4">
        <v>841000</v>
      </c>
      <c r="S415" s="2" t="s">
        <v>12</v>
      </c>
    </row>
    <row r="416" spans="1:19" x14ac:dyDescent="0.3">
      <c r="A416" s="4">
        <v>415</v>
      </c>
      <c r="B416" s="4" t="s">
        <v>435</v>
      </c>
      <c r="C416" s="4" t="s">
        <v>11</v>
      </c>
      <c r="D416" s="4" t="s">
        <v>17</v>
      </c>
      <c r="E416" s="4" t="s">
        <v>13</v>
      </c>
      <c r="F416" s="4" t="s">
        <v>12</v>
      </c>
      <c r="G416" s="4">
        <v>50000</v>
      </c>
      <c r="H416" s="4">
        <v>30000</v>
      </c>
      <c r="I416" s="13">
        <v>2000000</v>
      </c>
      <c r="J416" s="4">
        <v>60</v>
      </c>
      <c r="K416" s="4">
        <v>1</v>
      </c>
      <c r="L416" s="4" t="s">
        <v>14</v>
      </c>
      <c r="M416" s="4" t="s">
        <v>15</v>
      </c>
      <c r="N416" s="4" t="s">
        <v>623</v>
      </c>
      <c r="O416" s="4" t="s">
        <v>625</v>
      </c>
      <c r="P416" s="5">
        <v>0.18</v>
      </c>
      <c r="Q416" s="14">
        <f>PMT($V$27/12,$V$30,-$V$26)</f>
        <v>50786.854854218167</v>
      </c>
      <c r="R416" s="4">
        <v>760000</v>
      </c>
      <c r="S416" s="2" t="s">
        <v>12</v>
      </c>
    </row>
    <row r="417" spans="1:19" x14ac:dyDescent="0.3">
      <c r="A417" s="4">
        <v>416</v>
      </c>
      <c r="B417" s="4" t="s">
        <v>436</v>
      </c>
      <c r="C417" s="4" t="s">
        <v>11</v>
      </c>
      <c r="D417" s="4" t="s">
        <v>17</v>
      </c>
      <c r="E417" s="4" t="s">
        <v>13</v>
      </c>
      <c r="F417" s="4" t="s">
        <v>12</v>
      </c>
      <c r="G417" s="4">
        <v>65000</v>
      </c>
      <c r="H417" s="4">
        <v>20000</v>
      </c>
      <c r="I417" s="13">
        <v>800000</v>
      </c>
      <c r="J417" s="4">
        <v>60</v>
      </c>
      <c r="K417" s="4">
        <v>0</v>
      </c>
      <c r="L417" s="4" t="s">
        <v>14</v>
      </c>
      <c r="M417" s="4" t="s">
        <v>19</v>
      </c>
      <c r="N417" s="4" t="s">
        <v>623</v>
      </c>
      <c r="O417" s="4" t="s">
        <v>625</v>
      </c>
      <c r="P417" s="5">
        <v>0.18</v>
      </c>
      <c r="Q417" s="14">
        <f>PMT($V$33/12,$V$36,-$V$32)</f>
        <v>20314.741941687265</v>
      </c>
      <c r="R417" s="4">
        <v>755000</v>
      </c>
      <c r="S417" s="2" t="s">
        <v>12</v>
      </c>
    </row>
    <row r="418" spans="1:19" x14ac:dyDescent="0.3">
      <c r="A418" s="4">
        <v>417</v>
      </c>
      <c r="B418" s="4" t="s">
        <v>437</v>
      </c>
      <c r="C418" s="4" t="s">
        <v>11</v>
      </c>
      <c r="D418" s="4" t="s">
        <v>17</v>
      </c>
      <c r="E418" s="4" t="s">
        <v>13</v>
      </c>
      <c r="F418" s="4" t="s">
        <v>12</v>
      </c>
      <c r="G418" s="4">
        <v>55000</v>
      </c>
      <c r="H418" s="4">
        <v>25000</v>
      </c>
      <c r="I418" s="13">
        <v>1000000</v>
      </c>
      <c r="J418" s="4">
        <v>60</v>
      </c>
      <c r="K418" s="4">
        <v>1</v>
      </c>
      <c r="L418" s="4" t="s">
        <v>27</v>
      </c>
      <c r="M418" s="4" t="s">
        <v>15</v>
      </c>
      <c r="N418" s="4" t="s">
        <v>623</v>
      </c>
      <c r="O418" s="4" t="s">
        <v>625</v>
      </c>
      <c r="P418" s="5">
        <v>0.18</v>
      </c>
      <c r="Q418" s="14">
        <f t="shared" ref="Q418:Q419" si="37">PMT($V$3/12,$V$6,-$V$2)</f>
        <v>25393.427427109084</v>
      </c>
      <c r="R418" s="4">
        <v>456000</v>
      </c>
      <c r="S418" s="2" t="s">
        <v>12</v>
      </c>
    </row>
    <row r="419" spans="1:19" x14ac:dyDescent="0.3">
      <c r="A419" s="4">
        <v>418</v>
      </c>
      <c r="B419" s="4" t="s">
        <v>438</v>
      </c>
      <c r="C419" s="4" t="s">
        <v>11</v>
      </c>
      <c r="D419" s="4" t="s">
        <v>17</v>
      </c>
      <c r="E419" s="4" t="s">
        <v>13</v>
      </c>
      <c r="F419" s="4" t="s">
        <v>12</v>
      </c>
      <c r="G419" s="4">
        <v>45000</v>
      </c>
      <c r="H419" s="4">
        <v>40000</v>
      </c>
      <c r="I419" s="13">
        <v>1000000</v>
      </c>
      <c r="J419" s="4">
        <v>60</v>
      </c>
      <c r="K419" s="4">
        <v>1</v>
      </c>
      <c r="L419" s="4" t="s">
        <v>18</v>
      </c>
      <c r="M419" s="4" t="s">
        <v>15</v>
      </c>
      <c r="N419" s="4" t="s">
        <v>623</v>
      </c>
      <c r="O419" s="4" t="s">
        <v>625</v>
      </c>
      <c r="P419" s="5">
        <v>0.18</v>
      </c>
      <c r="Q419" s="14">
        <f t="shared" si="37"/>
        <v>25393.427427109084</v>
      </c>
      <c r="R419" s="4">
        <v>451000</v>
      </c>
      <c r="S419" s="2" t="s">
        <v>12</v>
      </c>
    </row>
    <row r="420" spans="1:19" x14ac:dyDescent="0.3">
      <c r="A420" s="4">
        <v>419</v>
      </c>
      <c r="B420" s="4" t="s">
        <v>439</v>
      </c>
      <c r="C420" s="4" t="s">
        <v>38</v>
      </c>
      <c r="D420" s="4" t="s">
        <v>12</v>
      </c>
      <c r="E420" s="4" t="s">
        <v>22</v>
      </c>
      <c r="F420" s="4" t="s">
        <v>12</v>
      </c>
      <c r="G420" s="4">
        <v>25000</v>
      </c>
      <c r="H420" s="4">
        <v>0</v>
      </c>
      <c r="I420" s="13">
        <v>500000</v>
      </c>
      <c r="J420" s="4">
        <v>60</v>
      </c>
      <c r="K420" s="4">
        <v>1</v>
      </c>
      <c r="L420" s="4" t="s">
        <v>18</v>
      </c>
      <c r="M420" s="4" t="s">
        <v>19</v>
      </c>
      <c r="N420" s="4" t="s">
        <v>623</v>
      </c>
      <c r="O420" s="4" t="s">
        <v>625</v>
      </c>
      <c r="P420" s="5">
        <v>0.18</v>
      </c>
      <c r="Q420" s="14">
        <f t="shared" ref="Q420:Q421" si="38">PMT($V$15/12,$V$18,-$V$14)</f>
        <v>12696.713713554542</v>
      </c>
      <c r="R420" s="4" t="s">
        <v>635</v>
      </c>
      <c r="S420" s="2" t="s">
        <v>17</v>
      </c>
    </row>
    <row r="421" spans="1:19" x14ac:dyDescent="0.3">
      <c r="A421" s="4">
        <v>420</v>
      </c>
      <c r="B421" s="4" t="s">
        <v>440</v>
      </c>
      <c r="C421" s="4" t="s">
        <v>11</v>
      </c>
      <c r="D421" s="4" t="s">
        <v>17</v>
      </c>
      <c r="E421" s="4" t="s">
        <v>13</v>
      </c>
      <c r="F421" s="4" t="s">
        <v>12</v>
      </c>
      <c r="G421" s="4">
        <v>50000</v>
      </c>
      <c r="H421" s="4">
        <v>0</v>
      </c>
      <c r="I421" s="13">
        <v>500000</v>
      </c>
      <c r="J421" s="4">
        <v>60</v>
      </c>
      <c r="K421" s="4">
        <v>1</v>
      </c>
      <c r="L421" s="4" t="s">
        <v>27</v>
      </c>
      <c r="M421" s="4" t="s">
        <v>15</v>
      </c>
      <c r="N421" s="4" t="s">
        <v>623</v>
      </c>
      <c r="O421" s="4" t="s">
        <v>625</v>
      </c>
      <c r="P421" s="5">
        <v>0.18</v>
      </c>
      <c r="Q421" s="14">
        <f t="shared" si="38"/>
        <v>12696.713713554542</v>
      </c>
      <c r="R421" s="4">
        <v>500000</v>
      </c>
      <c r="S421" s="2" t="s">
        <v>17</v>
      </c>
    </row>
    <row r="422" spans="1:19" x14ac:dyDescent="0.3">
      <c r="A422" s="4">
        <v>421</v>
      </c>
      <c r="B422" s="4" t="s">
        <v>441</v>
      </c>
      <c r="C422" s="4" t="s">
        <v>11</v>
      </c>
      <c r="D422" s="4" t="s">
        <v>17</v>
      </c>
      <c r="E422" s="4" t="s">
        <v>13</v>
      </c>
      <c r="F422" s="4" t="s">
        <v>12</v>
      </c>
      <c r="G422" s="4">
        <v>15000</v>
      </c>
      <c r="H422" s="4">
        <v>10000</v>
      </c>
      <c r="I422" s="13">
        <v>600000</v>
      </c>
      <c r="J422" s="4">
        <v>60</v>
      </c>
      <c r="K422" s="4">
        <v>1</v>
      </c>
      <c r="L422" s="4" t="s">
        <v>18</v>
      </c>
      <c r="M422" s="4" t="s">
        <v>15</v>
      </c>
      <c r="N422" s="4" t="s">
        <v>623</v>
      </c>
      <c r="O422" s="4" t="s">
        <v>625</v>
      </c>
      <c r="P422" s="5">
        <v>0.18</v>
      </c>
      <c r="Q422" s="14">
        <f>PMT($V$39/12,$V$42,-$V$38)</f>
        <v>15236.056456265451</v>
      </c>
      <c r="R422" s="4" t="s">
        <v>635</v>
      </c>
      <c r="S422" s="2" t="s">
        <v>12</v>
      </c>
    </row>
    <row r="423" spans="1:19" x14ac:dyDescent="0.3">
      <c r="A423" s="4">
        <v>422</v>
      </c>
      <c r="B423" s="4" t="s">
        <v>442</v>
      </c>
      <c r="C423" s="4" t="s">
        <v>11</v>
      </c>
      <c r="D423" s="4" t="s">
        <v>12</v>
      </c>
      <c r="E423" s="4" t="s">
        <v>22</v>
      </c>
      <c r="F423" s="4" t="s">
        <v>12</v>
      </c>
      <c r="G423" s="4">
        <v>150000</v>
      </c>
      <c r="H423" s="4">
        <v>0</v>
      </c>
      <c r="I423" s="13">
        <v>2000000</v>
      </c>
      <c r="J423" s="4">
        <v>60</v>
      </c>
      <c r="K423" s="4">
        <v>1</v>
      </c>
      <c r="L423" s="4" t="s">
        <v>14</v>
      </c>
      <c r="M423" s="4" t="s">
        <v>15</v>
      </c>
      <c r="N423" s="4" t="s">
        <v>623</v>
      </c>
      <c r="O423" s="4" t="s">
        <v>625</v>
      </c>
      <c r="P423" s="5">
        <v>0.18</v>
      </c>
      <c r="Q423" s="14">
        <f>PMT($V$27/12,$V$30,-$V$26)</f>
        <v>50786.854854218167</v>
      </c>
      <c r="R423" s="4">
        <v>800000</v>
      </c>
      <c r="S423" s="2" t="s">
        <v>12</v>
      </c>
    </row>
    <row r="424" spans="1:19" x14ac:dyDescent="0.3">
      <c r="A424" s="4">
        <v>423</v>
      </c>
      <c r="B424" s="4" t="s">
        <v>443</v>
      </c>
      <c r="C424" s="4" t="s">
        <v>38</v>
      </c>
      <c r="D424" s="4" t="s">
        <v>12</v>
      </c>
      <c r="E424" s="4" t="s">
        <v>13</v>
      </c>
      <c r="F424" s="4" t="s">
        <v>17</v>
      </c>
      <c r="G424" s="4">
        <v>20000</v>
      </c>
      <c r="H424" s="4">
        <v>10000</v>
      </c>
      <c r="I424" s="13">
        <v>756201</v>
      </c>
      <c r="J424" s="4">
        <v>60</v>
      </c>
      <c r="K424" s="4">
        <v>1</v>
      </c>
      <c r="L424" s="4" t="s">
        <v>27</v>
      </c>
      <c r="M424" s="4" t="s">
        <v>15</v>
      </c>
      <c r="N424" s="4" t="s">
        <v>623</v>
      </c>
      <c r="O424" s="4" t="s">
        <v>625</v>
      </c>
      <c r="P424" s="5">
        <v>0.18</v>
      </c>
      <c r="Q424" s="14">
        <f>PMT($Y$3/12,$Y$6,-$Y$2)</f>
        <v>19202.535213807318</v>
      </c>
      <c r="R424" s="4">
        <v>200000</v>
      </c>
      <c r="S424" s="2" t="s">
        <v>12</v>
      </c>
    </row>
    <row r="425" spans="1:19" x14ac:dyDescent="0.3">
      <c r="A425" s="4">
        <v>424</v>
      </c>
      <c r="B425" s="4" t="s">
        <v>444</v>
      </c>
      <c r="C425" s="4" t="s">
        <v>11</v>
      </c>
      <c r="D425" s="4" t="s">
        <v>12</v>
      </c>
      <c r="E425" s="4" t="s">
        <v>13</v>
      </c>
      <c r="F425" s="4" t="s">
        <v>12</v>
      </c>
      <c r="G425" s="4">
        <v>50000</v>
      </c>
      <c r="H425" s="4">
        <v>25000</v>
      </c>
      <c r="I425" s="13">
        <v>200000</v>
      </c>
      <c r="J425" s="4">
        <v>60</v>
      </c>
      <c r="K425" s="4">
        <v>0</v>
      </c>
      <c r="L425" s="4" t="s">
        <v>18</v>
      </c>
      <c r="M425" s="4" t="s">
        <v>19</v>
      </c>
      <c r="N425" s="4" t="s">
        <v>623</v>
      </c>
      <c r="O425" s="4" t="s">
        <v>625</v>
      </c>
      <c r="P425" s="5">
        <v>0.18</v>
      </c>
      <c r="Q425" s="14">
        <f>PMT($Y$9/12,$Y$12,-$Y$8)</f>
        <v>5078.6854854218163</v>
      </c>
      <c r="R425" s="4">
        <v>600000</v>
      </c>
      <c r="S425" s="2" t="s">
        <v>12</v>
      </c>
    </row>
    <row r="426" spans="1:19" x14ac:dyDescent="0.3">
      <c r="A426" s="4">
        <v>425</v>
      </c>
      <c r="B426" s="4" t="s">
        <v>445</v>
      </c>
      <c r="C426" s="4" t="s">
        <v>11</v>
      </c>
      <c r="D426" s="4" t="s">
        <v>12</v>
      </c>
      <c r="E426" s="4" t="s">
        <v>13</v>
      </c>
      <c r="F426" s="4" t="s">
        <v>17</v>
      </c>
      <c r="G426" s="4">
        <v>26000</v>
      </c>
      <c r="H426" s="4">
        <v>15000</v>
      </c>
      <c r="I426" s="13">
        <v>549820</v>
      </c>
      <c r="J426" s="4">
        <v>60</v>
      </c>
      <c r="K426" s="4">
        <v>1</v>
      </c>
      <c r="L426" s="4" t="s">
        <v>27</v>
      </c>
      <c r="M426" s="4" t="s">
        <v>15</v>
      </c>
      <c r="N426" s="4" t="s">
        <v>623</v>
      </c>
      <c r="O426" s="4" t="s">
        <v>625</v>
      </c>
      <c r="P426" s="5">
        <v>0.18</v>
      </c>
      <c r="Q426" s="14">
        <f>PMT($Y$15/12,$Y$18,-$Y$14)</f>
        <v>13961.814267973117</v>
      </c>
      <c r="R426" s="4">
        <v>300000</v>
      </c>
      <c r="S426" s="2" t="s">
        <v>12</v>
      </c>
    </row>
    <row r="427" spans="1:19" x14ac:dyDescent="0.3">
      <c r="A427" s="4">
        <v>426</v>
      </c>
      <c r="B427" s="4" t="s">
        <v>446</v>
      </c>
      <c r="C427" s="4" t="s">
        <v>11</v>
      </c>
      <c r="D427" s="4" t="s">
        <v>17</v>
      </c>
      <c r="E427" s="4" t="s">
        <v>13</v>
      </c>
      <c r="F427" s="4" t="s">
        <v>12</v>
      </c>
      <c r="G427" s="4">
        <v>100000</v>
      </c>
      <c r="H427" s="4">
        <v>0</v>
      </c>
      <c r="I427" s="13">
        <v>1500000</v>
      </c>
      <c r="J427" s="4">
        <v>60</v>
      </c>
      <c r="K427" s="4">
        <v>1</v>
      </c>
      <c r="L427" s="4" t="s">
        <v>27</v>
      </c>
      <c r="M427" s="4" t="s">
        <v>15</v>
      </c>
      <c r="N427" s="4" t="s">
        <v>623</v>
      </c>
      <c r="O427" s="4" t="s">
        <v>625</v>
      </c>
      <c r="P427" s="5">
        <v>0.18</v>
      </c>
      <c r="Q427" s="14">
        <f>PMT($V$9/12,$V$12,-$V$8)</f>
        <v>38090.141140663625</v>
      </c>
      <c r="R427" s="4">
        <v>800000</v>
      </c>
      <c r="S427" s="2" t="s">
        <v>12</v>
      </c>
    </row>
    <row r="428" spans="1:19" x14ac:dyDescent="0.3">
      <c r="A428" s="4">
        <v>427</v>
      </c>
      <c r="B428" s="4" t="s">
        <v>447</v>
      </c>
      <c r="C428" s="4" t="s">
        <v>11</v>
      </c>
      <c r="D428" s="4" t="s">
        <v>12</v>
      </c>
      <c r="E428" s="4" t="s">
        <v>13</v>
      </c>
      <c r="F428" s="4" t="s">
        <v>12</v>
      </c>
      <c r="G428" s="4">
        <v>90000</v>
      </c>
      <c r="H428" s="4">
        <v>0</v>
      </c>
      <c r="I428" s="13">
        <v>2000000</v>
      </c>
      <c r="J428" s="4">
        <v>60</v>
      </c>
      <c r="K428" s="4">
        <v>1</v>
      </c>
      <c r="L428" s="4" t="s">
        <v>14</v>
      </c>
      <c r="M428" s="4" t="s">
        <v>15</v>
      </c>
      <c r="N428" s="4" t="s">
        <v>623</v>
      </c>
      <c r="O428" s="4" t="s">
        <v>625</v>
      </c>
      <c r="P428" s="5">
        <v>0.18</v>
      </c>
      <c r="Q428" s="14">
        <f>PMT($V$27/12,$V$30,-$V$26)</f>
        <v>50786.854854218167</v>
      </c>
      <c r="R428" s="4">
        <v>700000</v>
      </c>
      <c r="S428" s="2" t="s">
        <v>12</v>
      </c>
    </row>
    <row r="429" spans="1:19" x14ac:dyDescent="0.3">
      <c r="A429" s="4">
        <v>428</v>
      </c>
      <c r="B429" s="4" t="s">
        <v>448</v>
      </c>
      <c r="C429" s="4" t="s">
        <v>11</v>
      </c>
      <c r="D429" s="4" t="s">
        <v>12</v>
      </c>
      <c r="E429" s="4" t="s">
        <v>13</v>
      </c>
      <c r="F429" s="4" t="s">
        <v>12</v>
      </c>
      <c r="G429" s="4">
        <v>55000</v>
      </c>
      <c r="H429" s="4">
        <v>25000</v>
      </c>
      <c r="I429" s="13">
        <v>1220000</v>
      </c>
      <c r="J429" s="4">
        <v>60</v>
      </c>
      <c r="K429" s="4">
        <v>1</v>
      </c>
      <c r="L429" s="4" t="s">
        <v>27</v>
      </c>
      <c r="M429" s="4" t="s">
        <v>15</v>
      </c>
      <c r="N429" s="4" t="s">
        <v>623</v>
      </c>
      <c r="O429" s="4" t="s">
        <v>625</v>
      </c>
      <c r="P429" s="5">
        <v>0.18</v>
      </c>
      <c r="Q429" s="14">
        <f>PMT($Y$21/12,$Y$24,-$Y$20)</f>
        <v>30979.981461073083</v>
      </c>
      <c r="R429" s="4">
        <v>700000</v>
      </c>
      <c r="S429" s="2" t="s">
        <v>12</v>
      </c>
    </row>
    <row r="430" spans="1:19" x14ac:dyDescent="0.3">
      <c r="A430" s="4">
        <v>429</v>
      </c>
      <c r="B430" s="4" t="s">
        <v>449</v>
      </c>
      <c r="C430" s="4" t="s">
        <v>11</v>
      </c>
      <c r="D430" s="4" t="s">
        <v>17</v>
      </c>
      <c r="E430" s="4" t="s">
        <v>13</v>
      </c>
      <c r="F430" s="4" t="s">
        <v>12</v>
      </c>
      <c r="G430" s="4">
        <v>26540</v>
      </c>
      <c r="H430" s="4">
        <v>12300</v>
      </c>
      <c r="I430" s="13">
        <v>423600</v>
      </c>
      <c r="J430" s="4">
        <v>60</v>
      </c>
      <c r="K430" s="4">
        <v>1</v>
      </c>
      <c r="L430" s="4" t="s">
        <v>14</v>
      </c>
      <c r="M430" s="4" t="s">
        <v>15</v>
      </c>
      <c r="N430" s="4" t="s">
        <v>623</v>
      </c>
      <c r="O430" s="4" t="s">
        <v>625</v>
      </c>
      <c r="P430" s="5">
        <v>0.18</v>
      </c>
      <c r="Q430" s="14">
        <f>PMT($Y$27/12,$Y$30,-$Y$26)</f>
        <v>10756.655858123409</v>
      </c>
      <c r="R430" s="4">
        <v>200000</v>
      </c>
      <c r="S430" s="2" t="s">
        <v>12</v>
      </c>
    </row>
    <row r="431" spans="1:19" x14ac:dyDescent="0.3">
      <c r="A431" s="4">
        <v>430</v>
      </c>
      <c r="B431" s="4" t="s">
        <v>450</v>
      </c>
      <c r="C431" s="4" t="s">
        <v>11</v>
      </c>
      <c r="D431" s="4" t="s">
        <v>12</v>
      </c>
      <c r="E431" s="4" t="s">
        <v>13</v>
      </c>
      <c r="F431" s="4" t="s">
        <v>17</v>
      </c>
      <c r="G431" s="4">
        <v>20000</v>
      </c>
      <c r="H431" s="4">
        <v>0</v>
      </c>
      <c r="I431" s="13">
        <v>365890</v>
      </c>
      <c r="J431" s="4">
        <v>60</v>
      </c>
      <c r="K431" s="4">
        <v>0</v>
      </c>
      <c r="L431" s="4" t="s">
        <v>14</v>
      </c>
      <c r="M431" s="4" t="s">
        <v>19</v>
      </c>
      <c r="N431" s="4" t="s">
        <v>623</v>
      </c>
      <c r="O431" s="4" t="s">
        <v>625</v>
      </c>
      <c r="P431" s="5">
        <v>0.18</v>
      </c>
      <c r="Q431" s="14">
        <f>PMT($Y$33/12,$Y$36,-$Y$32)</f>
        <v>9291.2011613049435</v>
      </c>
      <c r="R431" s="4" t="s">
        <v>635</v>
      </c>
      <c r="S431" s="2" t="s">
        <v>12</v>
      </c>
    </row>
    <row r="432" spans="1:19" x14ac:dyDescent="0.3">
      <c r="A432" s="4">
        <v>431</v>
      </c>
      <c r="B432" s="4" t="s">
        <v>451</v>
      </c>
      <c r="C432" s="4" t="s">
        <v>38</v>
      </c>
      <c r="D432" s="4" t="s">
        <v>17</v>
      </c>
      <c r="E432" s="4" t="s">
        <v>22</v>
      </c>
      <c r="F432" s="4" t="s">
        <v>17</v>
      </c>
      <c r="G432" s="4">
        <v>55800</v>
      </c>
      <c r="H432" s="4">
        <v>0</v>
      </c>
      <c r="I432" s="13">
        <v>500000</v>
      </c>
      <c r="J432" s="4">
        <v>60</v>
      </c>
      <c r="K432" s="4">
        <v>1</v>
      </c>
      <c r="L432" s="4" t="s">
        <v>18</v>
      </c>
      <c r="M432" s="4" t="s">
        <v>15</v>
      </c>
      <c r="N432" s="4" t="s">
        <v>623</v>
      </c>
      <c r="O432" s="4" t="s">
        <v>625</v>
      </c>
      <c r="P432" s="5">
        <v>0.18</v>
      </c>
      <c r="Q432" s="14">
        <f>PMT($V$15/12,$V$18,-$V$14)</f>
        <v>12696.713713554542</v>
      </c>
      <c r="R432" s="4">
        <v>550000</v>
      </c>
      <c r="S432" s="2" t="s">
        <v>17</v>
      </c>
    </row>
    <row r="433" spans="1:19" x14ac:dyDescent="0.3">
      <c r="A433" s="4">
        <v>432</v>
      </c>
      <c r="B433" s="4" t="s">
        <v>452</v>
      </c>
      <c r="C433" s="4" t="s">
        <v>11</v>
      </c>
      <c r="D433" s="4" t="s">
        <v>12</v>
      </c>
      <c r="E433" s="4" t="s">
        <v>13</v>
      </c>
      <c r="F433" s="4" t="s">
        <v>12</v>
      </c>
      <c r="G433" s="4">
        <v>68000</v>
      </c>
      <c r="H433" s="4">
        <v>45200</v>
      </c>
      <c r="I433" s="13">
        <v>850000</v>
      </c>
      <c r="J433" s="4">
        <v>60</v>
      </c>
      <c r="K433" s="4">
        <v>1</v>
      </c>
      <c r="L433" s="4" t="s">
        <v>27</v>
      </c>
      <c r="M433" s="4" t="s">
        <v>15</v>
      </c>
      <c r="N433" s="4" t="s">
        <v>623</v>
      </c>
      <c r="O433" s="4" t="s">
        <v>625</v>
      </c>
      <c r="P433" s="5">
        <v>0.18</v>
      </c>
      <c r="Q433" s="14">
        <f>PMT($Y$39/12,$Y$42,-$Y$38)</f>
        <v>21584.413313042722</v>
      </c>
      <c r="R433" s="4">
        <v>750000</v>
      </c>
      <c r="S433" s="2" t="s">
        <v>12</v>
      </c>
    </row>
    <row r="434" spans="1:19" x14ac:dyDescent="0.3">
      <c r="A434" s="4">
        <v>433</v>
      </c>
      <c r="B434" s="4" t="s">
        <v>453</v>
      </c>
      <c r="C434" s="4" t="s">
        <v>11</v>
      </c>
      <c r="D434" s="4" t="s">
        <v>17</v>
      </c>
      <c r="E434" s="4" t="s">
        <v>13</v>
      </c>
      <c r="F434" s="4" t="s">
        <v>12</v>
      </c>
      <c r="G434" s="4">
        <v>54200</v>
      </c>
      <c r="H434" s="4">
        <v>0</v>
      </c>
      <c r="I434" s="13">
        <v>300000</v>
      </c>
      <c r="J434" s="4">
        <v>60</v>
      </c>
      <c r="K434" s="4">
        <v>1</v>
      </c>
      <c r="L434" s="4" t="s">
        <v>18</v>
      </c>
      <c r="M434" s="4" t="s">
        <v>15</v>
      </c>
      <c r="N434" s="4" t="s">
        <v>623</v>
      </c>
      <c r="O434" s="4" t="s">
        <v>625</v>
      </c>
      <c r="P434" s="5">
        <v>0.18</v>
      </c>
      <c r="Q434" s="14">
        <f>PMT($V$21/12,$V$24,-$V$20)</f>
        <v>7618.0282281327254</v>
      </c>
      <c r="R434" s="4">
        <v>400000</v>
      </c>
      <c r="S434" s="2" t="s">
        <v>12</v>
      </c>
    </row>
    <row r="435" spans="1:19" x14ac:dyDescent="0.3">
      <c r="A435" s="4">
        <v>434</v>
      </c>
      <c r="B435" s="4" t="s">
        <v>454</v>
      </c>
      <c r="C435" s="4" t="s">
        <v>11</v>
      </c>
      <c r="D435" s="4" t="s">
        <v>12</v>
      </c>
      <c r="E435" s="4" t="s">
        <v>22</v>
      </c>
      <c r="F435" s="4" t="s">
        <v>12</v>
      </c>
      <c r="G435" s="4">
        <v>85300</v>
      </c>
      <c r="H435" s="4">
        <v>0</v>
      </c>
      <c r="I435" s="13">
        <v>768000</v>
      </c>
      <c r="J435" s="4">
        <v>60</v>
      </c>
      <c r="K435" s="4">
        <v>1</v>
      </c>
      <c r="L435" s="4" t="s">
        <v>27</v>
      </c>
      <c r="M435" s="4" t="s">
        <v>15</v>
      </c>
      <c r="N435" s="4" t="s">
        <v>623</v>
      </c>
      <c r="O435" s="4" t="s">
        <v>625</v>
      </c>
      <c r="P435" s="5">
        <v>0.18</v>
      </c>
      <c r="Q435" s="14">
        <f>PMT($AB$3/12,$AB$6,-$AB$2)</f>
        <v>19502.152264019776</v>
      </c>
      <c r="R435" s="4">
        <v>800000</v>
      </c>
      <c r="S435" s="2" t="s">
        <v>17</v>
      </c>
    </row>
    <row r="436" spans="1:19" x14ac:dyDescent="0.3">
      <c r="A436" s="4">
        <v>435</v>
      </c>
      <c r="B436" s="4" t="s">
        <v>455</v>
      </c>
      <c r="C436" s="4" t="s">
        <v>11</v>
      </c>
      <c r="D436" s="4" t="s">
        <v>12</v>
      </c>
      <c r="E436" s="4" t="s">
        <v>13</v>
      </c>
      <c r="F436" s="4" t="s">
        <v>12</v>
      </c>
      <c r="G436" s="4">
        <v>25000</v>
      </c>
      <c r="H436" s="4">
        <v>0</v>
      </c>
      <c r="I436" s="13">
        <v>500000</v>
      </c>
      <c r="J436" s="4">
        <v>60</v>
      </c>
      <c r="K436" s="4">
        <v>1</v>
      </c>
      <c r="L436" s="4" t="s">
        <v>27</v>
      </c>
      <c r="M436" s="4" t="s">
        <v>15</v>
      </c>
      <c r="N436" s="4" t="s">
        <v>623</v>
      </c>
      <c r="O436" s="4" t="s">
        <v>625</v>
      </c>
      <c r="P436" s="5">
        <v>0.18</v>
      </c>
      <c r="Q436" s="14">
        <f>PMT($V$15/12,$V$18,-$V$14)</f>
        <v>12696.713713554542</v>
      </c>
      <c r="R436" s="4" t="s">
        <v>635</v>
      </c>
      <c r="S436" s="2" t="s">
        <v>12</v>
      </c>
    </row>
    <row r="437" spans="1:19" x14ac:dyDescent="0.3">
      <c r="A437" s="4">
        <v>436</v>
      </c>
      <c r="B437" s="4" t="s">
        <v>456</v>
      </c>
      <c r="C437" s="4" t="s">
        <v>11</v>
      </c>
      <c r="D437" s="4" t="s">
        <v>17</v>
      </c>
      <c r="E437" s="4" t="s">
        <v>13</v>
      </c>
      <c r="F437" s="4" t="s">
        <v>12</v>
      </c>
      <c r="G437" s="4">
        <v>35700</v>
      </c>
      <c r="H437" s="4">
        <v>0</v>
      </c>
      <c r="I437" s="13">
        <v>478000</v>
      </c>
      <c r="J437" s="4">
        <v>60</v>
      </c>
      <c r="K437" s="4">
        <v>0</v>
      </c>
      <c r="L437" s="4" t="s">
        <v>18</v>
      </c>
      <c r="M437" s="4" t="s">
        <v>15</v>
      </c>
      <c r="N437" s="4" t="s">
        <v>623</v>
      </c>
      <c r="O437" s="4" t="s">
        <v>625</v>
      </c>
      <c r="P437" s="5">
        <v>0.18</v>
      </c>
      <c r="Q437" s="14">
        <f>PMT($V$63/12,$V$66,-$V$62)</f>
        <v>12138.058310158141</v>
      </c>
      <c r="R437" s="4">
        <v>300000</v>
      </c>
      <c r="S437" s="2" t="s">
        <v>12</v>
      </c>
    </row>
    <row r="438" spans="1:19" x14ac:dyDescent="0.3">
      <c r="A438" s="4">
        <v>437</v>
      </c>
      <c r="B438" s="4" t="s">
        <v>457</v>
      </c>
      <c r="C438" s="4" t="s">
        <v>11</v>
      </c>
      <c r="D438" s="4" t="s">
        <v>17</v>
      </c>
      <c r="E438" s="4" t="s">
        <v>13</v>
      </c>
      <c r="F438" s="4" t="s">
        <v>17</v>
      </c>
      <c r="G438" s="4">
        <v>48550</v>
      </c>
      <c r="H438" s="4">
        <v>54800</v>
      </c>
      <c r="I438" s="13">
        <v>748890</v>
      </c>
      <c r="J438" s="4">
        <v>60</v>
      </c>
      <c r="K438" s="4">
        <v>1</v>
      </c>
      <c r="L438" s="4" t="s">
        <v>18</v>
      </c>
      <c r="M438" s="4" t="s">
        <v>15</v>
      </c>
      <c r="N438" s="4" t="s">
        <v>623</v>
      </c>
      <c r="O438" s="4" t="s">
        <v>625</v>
      </c>
      <c r="P438" s="5">
        <v>0.18</v>
      </c>
      <c r="Q438" s="14">
        <f>PMT($Y$63/12,$Y$66,-$Y$62)</f>
        <v>19016.883865887721</v>
      </c>
      <c r="R438" s="4">
        <v>500000</v>
      </c>
      <c r="S438" s="2" t="s">
        <v>12</v>
      </c>
    </row>
    <row r="439" spans="1:19" x14ac:dyDescent="0.3">
      <c r="A439" s="4">
        <v>438</v>
      </c>
      <c r="B439" s="4" t="s">
        <v>458</v>
      </c>
      <c r="C439" s="4" t="s">
        <v>11</v>
      </c>
      <c r="D439" s="4" t="s">
        <v>17</v>
      </c>
      <c r="E439" s="4" t="s">
        <v>22</v>
      </c>
      <c r="F439" s="4" t="s">
        <v>12</v>
      </c>
      <c r="G439" s="4">
        <v>150000</v>
      </c>
      <c r="H439" s="4">
        <v>0</v>
      </c>
      <c r="I439" s="13">
        <v>1500000</v>
      </c>
      <c r="J439" s="4">
        <v>60</v>
      </c>
      <c r="K439" s="4">
        <v>1</v>
      </c>
      <c r="L439" s="4" t="s">
        <v>18</v>
      </c>
      <c r="M439" s="4" t="s">
        <v>15</v>
      </c>
      <c r="N439" s="4" t="s">
        <v>623</v>
      </c>
      <c r="O439" s="4" t="s">
        <v>625</v>
      </c>
      <c r="P439" s="5">
        <v>0.18</v>
      </c>
      <c r="Q439" s="14">
        <f>PMT($V$9/12,$V$12,-$V$8)</f>
        <v>38090.141140663625</v>
      </c>
      <c r="R439" s="4">
        <v>700000</v>
      </c>
      <c r="S439" s="2" t="s">
        <v>12</v>
      </c>
    </row>
    <row r="440" spans="1:19" x14ac:dyDescent="0.3">
      <c r="A440" s="4">
        <v>439</v>
      </c>
      <c r="B440" s="4" t="s">
        <v>459</v>
      </c>
      <c r="C440" s="4" t="s">
        <v>11</v>
      </c>
      <c r="D440" s="4" t="s">
        <v>17</v>
      </c>
      <c r="E440" s="4" t="s">
        <v>13</v>
      </c>
      <c r="F440" s="4" t="s">
        <v>17</v>
      </c>
      <c r="G440" s="4">
        <v>50000</v>
      </c>
      <c r="H440" s="4">
        <v>0</v>
      </c>
      <c r="I440" s="13">
        <v>1000000</v>
      </c>
      <c r="J440" s="4">
        <v>60</v>
      </c>
      <c r="K440" s="4">
        <v>1</v>
      </c>
      <c r="L440" s="4" t="s">
        <v>18</v>
      </c>
      <c r="M440" s="4" t="s">
        <v>19</v>
      </c>
      <c r="N440" s="4" t="s">
        <v>623</v>
      </c>
      <c r="O440" s="4" t="s">
        <v>625</v>
      </c>
      <c r="P440" s="5">
        <v>0.18</v>
      </c>
      <c r="Q440" s="14">
        <f>PMT($V$3/12,$V$6,-$V$2)</f>
        <v>25393.427427109084</v>
      </c>
      <c r="R440" s="4">
        <v>400000</v>
      </c>
      <c r="S440" s="2" t="s">
        <v>12</v>
      </c>
    </row>
    <row r="441" spans="1:19" x14ac:dyDescent="0.3">
      <c r="A441" s="4">
        <v>440</v>
      </c>
      <c r="B441" s="4" t="s">
        <v>460</v>
      </c>
      <c r="C441" s="4" t="s">
        <v>11</v>
      </c>
      <c r="D441" s="4" t="s">
        <v>17</v>
      </c>
      <c r="E441" s="4" t="s">
        <v>13</v>
      </c>
      <c r="F441" s="4" t="s">
        <v>12</v>
      </c>
      <c r="G441" s="4">
        <v>100000</v>
      </c>
      <c r="H441" s="4">
        <v>35000</v>
      </c>
      <c r="I441" s="13">
        <v>1500000</v>
      </c>
      <c r="J441" s="4">
        <v>60</v>
      </c>
      <c r="K441" s="4">
        <v>0</v>
      </c>
      <c r="L441" s="4" t="s">
        <v>18</v>
      </c>
      <c r="M441" s="4" t="s">
        <v>19</v>
      </c>
      <c r="N441" s="4" t="s">
        <v>623</v>
      </c>
      <c r="O441" s="4" t="s">
        <v>625</v>
      </c>
      <c r="P441" s="5">
        <v>0.18</v>
      </c>
      <c r="Q441" s="14">
        <f t="shared" ref="Q441:Q442" si="39">PMT($V$9/12,$V$12,-$V$8)</f>
        <v>38090.141140663625</v>
      </c>
      <c r="R441" s="4">
        <v>900000</v>
      </c>
      <c r="S441" s="2" t="s">
        <v>12</v>
      </c>
    </row>
    <row r="442" spans="1:19" x14ac:dyDescent="0.3">
      <c r="A442" s="4">
        <v>441</v>
      </c>
      <c r="B442" s="4" t="s">
        <v>461</v>
      </c>
      <c r="C442" s="4" t="s">
        <v>11</v>
      </c>
      <c r="D442" s="4" t="s">
        <v>12</v>
      </c>
      <c r="E442" s="4" t="s">
        <v>22</v>
      </c>
      <c r="F442" s="4" t="s">
        <v>17</v>
      </c>
      <c r="G442" s="4">
        <v>80000</v>
      </c>
      <c r="H442" s="4">
        <v>0</v>
      </c>
      <c r="I442" s="13">
        <v>1500000</v>
      </c>
      <c r="J442" s="4">
        <v>60</v>
      </c>
      <c r="K442" s="4">
        <v>1</v>
      </c>
      <c r="L442" s="4" t="s">
        <v>27</v>
      </c>
      <c r="M442" s="4" t="s">
        <v>19</v>
      </c>
      <c r="N442" s="4" t="s">
        <v>623</v>
      </c>
      <c r="O442" s="4" t="s">
        <v>625</v>
      </c>
      <c r="P442" s="5">
        <v>0.18</v>
      </c>
      <c r="Q442" s="14">
        <f t="shared" si="39"/>
        <v>38090.141140663625</v>
      </c>
      <c r="R442" s="4">
        <v>500000</v>
      </c>
      <c r="S442" s="2" t="s">
        <v>12</v>
      </c>
    </row>
    <row r="443" spans="1:19" x14ac:dyDescent="0.3">
      <c r="A443" s="4">
        <v>442</v>
      </c>
      <c r="B443" s="4" t="s">
        <v>462</v>
      </c>
      <c r="C443" s="4" t="s">
        <v>11</v>
      </c>
      <c r="D443" s="4" t="s">
        <v>17</v>
      </c>
      <c r="E443" s="4" t="s">
        <v>22</v>
      </c>
      <c r="F443" s="4" t="s">
        <v>12</v>
      </c>
      <c r="G443" s="4">
        <v>50000</v>
      </c>
      <c r="H443" s="4">
        <v>0</v>
      </c>
      <c r="I443" s="13">
        <v>500000</v>
      </c>
      <c r="J443" s="4">
        <v>60</v>
      </c>
      <c r="K443" s="4">
        <v>0</v>
      </c>
      <c r="L443" s="4" t="s">
        <v>18</v>
      </c>
      <c r="M443" s="4" t="s">
        <v>19</v>
      </c>
      <c r="N443" s="4" t="s">
        <v>623</v>
      </c>
      <c r="O443" s="4" t="s">
        <v>625</v>
      </c>
      <c r="P443" s="5">
        <v>0.18</v>
      </c>
      <c r="Q443" s="14">
        <f>PMT($V$15/12,$V$18,-$V$14)</f>
        <v>12696.713713554542</v>
      </c>
      <c r="R443" s="4">
        <v>400000</v>
      </c>
      <c r="S443" s="2" t="s">
        <v>12</v>
      </c>
    </row>
    <row r="444" spans="1:19" x14ac:dyDescent="0.3">
      <c r="A444" s="4">
        <v>443</v>
      </c>
      <c r="B444" s="4" t="s">
        <v>463</v>
      </c>
      <c r="C444" s="4" t="s">
        <v>11</v>
      </c>
      <c r="D444" s="4" t="s">
        <v>17</v>
      </c>
      <c r="E444" s="4" t="s">
        <v>22</v>
      </c>
      <c r="F444" s="4" t="s">
        <v>12</v>
      </c>
      <c r="G444" s="4">
        <v>200000</v>
      </c>
      <c r="H444" s="4">
        <v>50000</v>
      </c>
      <c r="I444" s="13">
        <v>3000000</v>
      </c>
      <c r="J444" s="4">
        <v>60</v>
      </c>
      <c r="K444" s="4">
        <v>1</v>
      </c>
      <c r="L444" s="4" t="s">
        <v>14</v>
      </c>
      <c r="M444" s="4" t="s">
        <v>15</v>
      </c>
      <c r="N444" s="4" t="s">
        <v>623</v>
      </c>
      <c r="O444" s="4" t="s">
        <v>625</v>
      </c>
      <c r="P444" s="5">
        <v>0.18</v>
      </c>
      <c r="Q444" s="14">
        <f>PMT($Y$81/12,$Y$84,-$Y$80)</f>
        <v>76180.282281327251</v>
      </c>
      <c r="R444" s="4">
        <v>1500000</v>
      </c>
      <c r="S444" s="2" t="s">
        <v>12</v>
      </c>
    </row>
    <row r="445" spans="1:19" x14ac:dyDescent="0.3">
      <c r="A445" s="4">
        <v>444</v>
      </c>
      <c r="B445" s="4" t="s">
        <v>464</v>
      </c>
      <c r="C445" s="4" t="s">
        <v>11</v>
      </c>
      <c r="D445" s="4" t="s">
        <v>17</v>
      </c>
      <c r="E445" s="4" t="s">
        <v>13</v>
      </c>
      <c r="F445" s="4" t="s">
        <v>12</v>
      </c>
      <c r="G445" s="4">
        <v>75000</v>
      </c>
      <c r="H445" s="4">
        <v>25000</v>
      </c>
      <c r="I445" s="13">
        <v>1000000</v>
      </c>
      <c r="J445" s="4">
        <v>60</v>
      </c>
      <c r="K445" s="4">
        <v>0</v>
      </c>
      <c r="L445" s="4" t="s">
        <v>18</v>
      </c>
      <c r="M445" s="4" t="s">
        <v>19</v>
      </c>
      <c r="N445" s="4" t="s">
        <v>623</v>
      </c>
      <c r="O445" s="4" t="s">
        <v>625</v>
      </c>
      <c r="P445" s="5">
        <v>0.18</v>
      </c>
      <c r="Q445" s="14">
        <f>PMT($V$3/12,$V$6,-$V$2)</f>
        <v>25393.427427109084</v>
      </c>
      <c r="R445" s="4">
        <v>760000</v>
      </c>
      <c r="S445" s="2" t="s">
        <v>12</v>
      </c>
    </row>
    <row r="446" spans="1:19" x14ac:dyDescent="0.3">
      <c r="A446" s="4">
        <v>445</v>
      </c>
      <c r="B446" s="4" t="s">
        <v>465</v>
      </c>
      <c r="C446" s="4" t="s">
        <v>11</v>
      </c>
      <c r="D446" s="4" t="s">
        <v>17</v>
      </c>
      <c r="E446" s="4" t="s">
        <v>13</v>
      </c>
      <c r="F446" s="4" t="s">
        <v>12</v>
      </c>
      <c r="G446" s="4">
        <v>50000</v>
      </c>
      <c r="H446" s="4">
        <v>35000</v>
      </c>
      <c r="I446" s="13">
        <v>1500000</v>
      </c>
      <c r="J446" s="4">
        <v>60</v>
      </c>
      <c r="K446" s="4">
        <v>0</v>
      </c>
      <c r="L446" s="4" t="s">
        <v>18</v>
      </c>
      <c r="M446" s="4" t="s">
        <v>15</v>
      </c>
      <c r="N446" s="4" t="s">
        <v>623</v>
      </c>
      <c r="O446" s="4" t="s">
        <v>625</v>
      </c>
      <c r="P446" s="5">
        <v>0.18</v>
      </c>
      <c r="Q446" s="14">
        <f>PMT($V$9/12,$V$12,-$V$8)</f>
        <v>38090.141140663625</v>
      </c>
      <c r="R446" s="4">
        <v>655000</v>
      </c>
      <c r="S446" s="2" t="s">
        <v>12</v>
      </c>
    </row>
    <row r="447" spans="1:19" x14ac:dyDescent="0.3">
      <c r="A447" s="4">
        <v>446</v>
      </c>
      <c r="B447" s="4" t="s">
        <v>466</v>
      </c>
      <c r="C447" s="4" t="s">
        <v>11</v>
      </c>
      <c r="D447" s="4" t="s">
        <v>12</v>
      </c>
      <c r="E447" s="4" t="s">
        <v>13</v>
      </c>
      <c r="F447" s="4" t="s">
        <v>17</v>
      </c>
      <c r="G447" s="4">
        <v>85000</v>
      </c>
      <c r="H447" s="4">
        <v>0</v>
      </c>
      <c r="I447" s="13">
        <v>1000000</v>
      </c>
      <c r="J447" s="4">
        <v>60</v>
      </c>
      <c r="K447" s="4">
        <v>1</v>
      </c>
      <c r="L447" s="4" t="s">
        <v>27</v>
      </c>
      <c r="M447" s="4" t="s">
        <v>15</v>
      </c>
      <c r="N447" s="4" t="s">
        <v>623</v>
      </c>
      <c r="O447" s="4" t="s">
        <v>625</v>
      </c>
      <c r="P447" s="5">
        <v>0.18</v>
      </c>
      <c r="Q447" s="14">
        <f>PMT($V$3/12,$V$6,-$V$2)</f>
        <v>25393.427427109084</v>
      </c>
      <c r="R447" s="4">
        <v>600000</v>
      </c>
      <c r="S447" s="2" t="s">
        <v>17</v>
      </c>
    </row>
    <row r="448" spans="1:19" x14ac:dyDescent="0.3">
      <c r="A448" s="4">
        <v>447</v>
      </c>
      <c r="B448" s="4" t="s">
        <v>467</v>
      </c>
      <c r="C448" s="4" t="s">
        <v>11</v>
      </c>
      <c r="D448" s="4" t="s">
        <v>17</v>
      </c>
      <c r="E448" s="4" t="s">
        <v>13</v>
      </c>
      <c r="F448" s="4" t="s">
        <v>12</v>
      </c>
      <c r="G448" s="4">
        <v>50000</v>
      </c>
      <c r="H448" s="4">
        <v>30000</v>
      </c>
      <c r="I448" s="13">
        <v>2000000</v>
      </c>
      <c r="J448" s="4">
        <v>60</v>
      </c>
      <c r="K448" s="4">
        <v>1</v>
      </c>
      <c r="L448" s="4" t="s">
        <v>27</v>
      </c>
      <c r="M448" s="4" t="s">
        <v>15</v>
      </c>
      <c r="N448" s="4" t="s">
        <v>623</v>
      </c>
      <c r="O448" s="4" t="s">
        <v>625</v>
      </c>
      <c r="P448" s="5">
        <v>0.18</v>
      </c>
      <c r="Q448" s="14">
        <f>PMT($V$27/12,$V$30,-$V$26)</f>
        <v>50786.854854218167</v>
      </c>
      <c r="R448" s="4">
        <v>700000</v>
      </c>
      <c r="S448" s="2" t="s">
        <v>17</v>
      </c>
    </row>
    <row r="449" spans="1:19" x14ac:dyDescent="0.3">
      <c r="A449" s="4">
        <v>448</v>
      </c>
      <c r="B449" s="4" t="s">
        <v>468</v>
      </c>
      <c r="C449" s="4" t="s">
        <v>11</v>
      </c>
      <c r="D449" s="4" t="s">
        <v>17</v>
      </c>
      <c r="E449" s="4" t="s">
        <v>13</v>
      </c>
      <c r="F449" s="4" t="s">
        <v>12</v>
      </c>
      <c r="G449" s="4">
        <v>65000</v>
      </c>
      <c r="H449" s="4">
        <v>20000</v>
      </c>
      <c r="I449" s="13">
        <v>800000</v>
      </c>
      <c r="J449" s="4">
        <v>60</v>
      </c>
      <c r="K449" s="4">
        <v>1</v>
      </c>
      <c r="L449" s="4" t="s">
        <v>14</v>
      </c>
      <c r="M449" s="4" t="s">
        <v>15</v>
      </c>
      <c r="N449" s="4" t="s">
        <v>623</v>
      </c>
      <c r="O449" s="4" t="s">
        <v>625</v>
      </c>
      <c r="P449" s="5">
        <v>0.18</v>
      </c>
      <c r="Q449" s="14">
        <f>PMT($V$33/12,$V$36,-$V$32)</f>
        <v>20314.741941687265</v>
      </c>
      <c r="R449" s="4">
        <v>750000</v>
      </c>
      <c r="S449" s="2" t="s">
        <v>12</v>
      </c>
    </row>
    <row r="450" spans="1:19" x14ac:dyDescent="0.3">
      <c r="A450" s="4">
        <v>449</v>
      </c>
      <c r="B450" s="4" t="s">
        <v>469</v>
      </c>
      <c r="C450" s="4" t="s">
        <v>11</v>
      </c>
      <c r="D450" s="4" t="s">
        <v>17</v>
      </c>
      <c r="E450" s="4" t="s">
        <v>13</v>
      </c>
      <c r="F450" s="4" t="s">
        <v>12</v>
      </c>
      <c r="G450" s="4">
        <v>55000</v>
      </c>
      <c r="H450" s="4">
        <v>25000</v>
      </c>
      <c r="I450" s="13">
        <v>1000000</v>
      </c>
      <c r="J450" s="4">
        <v>60</v>
      </c>
      <c r="K450" s="4">
        <v>1</v>
      </c>
      <c r="L450" s="4" t="s">
        <v>14</v>
      </c>
      <c r="M450" s="4" t="s">
        <v>19</v>
      </c>
      <c r="N450" s="4" t="s">
        <v>623</v>
      </c>
      <c r="O450" s="4" t="s">
        <v>625</v>
      </c>
      <c r="P450" s="5">
        <v>0.18</v>
      </c>
      <c r="Q450" s="14">
        <f t="shared" ref="Q450:Q451" si="40">PMT($V$3/12,$V$6,-$V$2)</f>
        <v>25393.427427109084</v>
      </c>
      <c r="R450" s="4">
        <v>650000</v>
      </c>
      <c r="S450" s="2" t="s">
        <v>12</v>
      </c>
    </row>
    <row r="451" spans="1:19" x14ac:dyDescent="0.3">
      <c r="A451" s="4">
        <v>450</v>
      </c>
      <c r="B451" s="4" t="s">
        <v>470</v>
      </c>
      <c r="C451" s="4" t="s">
        <v>11</v>
      </c>
      <c r="D451" s="4" t="s">
        <v>12</v>
      </c>
      <c r="E451" s="4" t="s">
        <v>13</v>
      </c>
      <c r="F451" s="4" t="s">
        <v>12</v>
      </c>
      <c r="G451" s="4">
        <v>50000</v>
      </c>
      <c r="H451" s="4">
        <v>0</v>
      </c>
      <c r="I451" s="13">
        <v>1000000</v>
      </c>
      <c r="J451" s="4">
        <v>60</v>
      </c>
      <c r="K451" s="4">
        <v>1</v>
      </c>
      <c r="L451" s="4" t="s">
        <v>18</v>
      </c>
      <c r="M451" s="4" t="s">
        <v>15</v>
      </c>
      <c r="N451" s="4" t="s">
        <v>623</v>
      </c>
      <c r="O451" s="4" t="s">
        <v>625</v>
      </c>
      <c r="P451" s="5">
        <v>0.18</v>
      </c>
      <c r="Q451" s="14">
        <f t="shared" si="40"/>
        <v>25393.427427109084</v>
      </c>
      <c r="R451" s="4">
        <v>500000</v>
      </c>
      <c r="S451" s="2" t="s">
        <v>12</v>
      </c>
    </row>
    <row r="452" spans="1:19" x14ac:dyDescent="0.3">
      <c r="A452" s="4">
        <v>451</v>
      </c>
      <c r="B452" s="4" t="s">
        <v>471</v>
      </c>
      <c r="C452" s="4" t="s">
        <v>11</v>
      </c>
      <c r="D452" s="4" t="s">
        <v>17</v>
      </c>
      <c r="E452" s="4" t="s">
        <v>13</v>
      </c>
      <c r="F452" s="4" t="s">
        <v>12</v>
      </c>
      <c r="G452" s="4">
        <v>100000</v>
      </c>
      <c r="H452" s="4">
        <v>35000</v>
      </c>
      <c r="I452" s="13">
        <v>1500000</v>
      </c>
      <c r="J452" s="4">
        <v>60</v>
      </c>
      <c r="K452" s="4">
        <v>1</v>
      </c>
      <c r="L452" s="4" t="s">
        <v>27</v>
      </c>
      <c r="M452" s="4" t="s">
        <v>19</v>
      </c>
      <c r="N452" s="4" t="s">
        <v>623</v>
      </c>
      <c r="O452" s="4" t="s">
        <v>625</v>
      </c>
      <c r="P452" s="5">
        <v>0.18</v>
      </c>
      <c r="Q452" s="14">
        <f t="shared" ref="Q452:Q453" si="41">PMT($V$9/12,$V$12,-$V$8)</f>
        <v>38090.141140663625</v>
      </c>
      <c r="R452" s="4">
        <v>1000000</v>
      </c>
      <c r="S452" s="2" t="s">
        <v>12</v>
      </c>
    </row>
    <row r="453" spans="1:19" x14ac:dyDescent="0.3">
      <c r="A453" s="4">
        <v>452</v>
      </c>
      <c r="B453" s="4" t="s">
        <v>472</v>
      </c>
      <c r="C453" s="4" t="s">
        <v>11</v>
      </c>
      <c r="D453" s="4" t="s">
        <v>17</v>
      </c>
      <c r="E453" s="4" t="s">
        <v>13</v>
      </c>
      <c r="F453" s="4" t="s">
        <v>12</v>
      </c>
      <c r="G453" s="4">
        <v>50000</v>
      </c>
      <c r="H453" s="4">
        <v>35000</v>
      </c>
      <c r="I453" s="13">
        <v>1500000</v>
      </c>
      <c r="J453" s="4">
        <v>60</v>
      </c>
      <c r="K453" s="4">
        <v>1</v>
      </c>
      <c r="L453" s="4" t="s">
        <v>14</v>
      </c>
      <c r="M453" s="4" t="s">
        <v>15</v>
      </c>
      <c r="N453" s="4" t="s">
        <v>623</v>
      </c>
      <c r="O453" s="4" t="s">
        <v>625</v>
      </c>
      <c r="P453" s="5">
        <v>0.18</v>
      </c>
      <c r="Q453" s="14">
        <f t="shared" si="41"/>
        <v>38090.141140663625</v>
      </c>
      <c r="R453" s="4">
        <v>560000</v>
      </c>
      <c r="S453" s="2" t="s">
        <v>12</v>
      </c>
    </row>
    <row r="454" spans="1:19" x14ac:dyDescent="0.3">
      <c r="A454" s="4">
        <v>453</v>
      </c>
      <c r="B454" s="4" t="s">
        <v>473</v>
      </c>
      <c r="C454" s="4" t="s">
        <v>11</v>
      </c>
      <c r="D454" s="4" t="s">
        <v>17</v>
      </c>
      <c r="E454" s="4" t="s">
        <v>13</v>
      </c>
      <c r="F454" s="4" t="s">
        <v>12</v>
      </c>
      <c r="G454" s="4">
        <v>85000</v>
      </c>
      <c r="H454" s="4">
        <v>0</v>
      </c>
      <c r="I454" s="13">
        <v>1000000</v>
      </c>
      <c r="J454" s="4">
        <v>60</v>
      </c>
      <c r="K454" s="4">
        <v>1</v>
      </c>
      <c r="L454" s="4" t="s">
        <v>18</v>
      </c>
      <c r="M454" s="4" t="s">
        <v>15</v>
      </c>
      <c r="N454" s="4" t="s">
        <v>623</v>
      </c>
      <c r="O454" s="4" t="s">
        <v>625</v>
      </c>
      <c r="P454" s="5">
        <v>0.18</v>
      </c>
      <c r="Q454" s="14">
        <f>PMT($V$3/12,$V$6,-$V$2)</f>
        <v>25393.427427109084</v>
      </c>
      <c r="R454" s="4">
        <v>640000</v>
      </c>
      <c r="S454" s="2" t="s">
        <v>12</v>
      </c>
    </row>
    <row r="455" spans="1:19" x14ac:dyDescent="0.3">
      <c r="A455" s="4">
        <v>454</v>
      </c>
      <c r="B455" s="4" t="s">
        <v>474</v>
      </c>
      <c r="C455" s="4" t="s">
        <v>38</v>
      </c>
      <c r="D455" s="4" t="s">
        <v>12</v>
      </c>
      <c r="E455" s="4" t="s">
        <v>22</v>
      </c>
      <c r="F455" s="4" t="s">
        <v>17</v>
      </c>
      <c r="G455" s="4">
        <v>50000</v>
      </c>
      <c r="H455" s="4">
        <v>30000</v>
      </c>
      <c r="I455" s="13">
        <v>2000000</v>
      </c>
      <c r="J455" s="4">
        <v>60</v>
      </c>
      <c r="K455" s="4">
        <v>1</v>
      </c>
      <c r="L455" s="4" t="s">
        <v>27</v>
      </c>
      <c r="M455" s="4" t="s">
        <v>15</v>
      </c>
      <c r="N455" s="4" t="s">
        <v>623</v>
      </c>
      <c r="O455" s="4" t="s">
        <v>625</v>
      </c>
      <c r="P455" s="5">
        <v>0.18</v>
      </c>
      <c r="Q455" s="14">
        <f>PMT($V$27/12,$V$30,-$V$26)</f>
        <v>50786.854854218167</v>
      </c>
      <c r="R455" s="4">
        <v>680000</v>
      </c>
      <c r="S455" s="2" t="s">
        <v>17</v>
      </c>
    </row>
    <row r="456" spans="1:19" x14ac:dyDescent="0.3">
      <c r="A456" s="4">
        <v>455</v>
      </c>
      <c r="B456" s="4" t="s">
        <v>475</v>
      </c>
      <c r="C456" s="4" t="s">
        <v>11</v>
      </c>
      <c r="D456" s="4" t="s">
        <v>12</v>
      </c>
      <c r="E456" s="4" t="s">
        <v>13</v>
      </c>
      <c r="F456" s="4" t="s">
        <v>12</v>
      </c>
      <c r="G456" s="4">
        <v>65000</v>
      </c>
      <c r="H456" s="4">
        <v>20000</v>
      </c>
      <c r="I456" s="13">
        <v>800000</v>
      </c>
      <c r="J456" s="4">
        <v>60</v>
      </c>
      <c r="K456" s="4">
        <v>0</v>
      </c>
      <c r="L456" s="4" t="s">
        <v>27</v>
      </c>
      <c r="M456" s="4" t="s">
        <v>19</v>
      </c>
      <c r="N456" s="4" t="s">
        <v>623</v>
      </c>
      <c r="O456" s="4" t="s">
        <v>625</v>
      </c>
      <c r="P456" s="5">
        <v>0.18</v>
      </c>
      <c r="Q456" s="14">
        <f>PMT($V$33/12,$V$36,-$V$32)</f>
        <v>20314.741941687265</v>
      </c>
      <c r="R456" s="4">
        <v>690000</v>
      </c>
      <c r="S456" s="2" t="s">
        <v>12</v>
      </c>
    </row>
    <row r="457" spans="1:19" x14ac:dyDescent="0.3">
      <c r="A457" s="4">
        <v>456</v>
      </c>
      <c r="B457" s="4" t="s">
        <v>476</v>
      </c>
      <c r="C457" s="4" t="s">
        <v>11</v>
      </c>
      <c r="D457" s="4" t="s">
        <v>12</v>
      </c>
      <c r="E457" s="4" t="s">
        <v>13</v>
      </c>
      <c r="F457" s="4" t="s">
        <v>12</v>
      </c>
      <c r="G457" s="4">
        <v>55000</v>
      </c>
      <c r="H457" s="4">
        <v>25000</v>
      </c>
      <c r="I457" s="13">
        <v>1000000</v>
      </c>
      <c r="J457" s="4">
        <v>60</v>
      </c>
      <c r="K457" s="4">
        <v>1</v>
      </c>
      <c r="L457" s="4" t="s">
        <v>18</v>
      </c>
      <c r="M457" s="4" t="s">
        <v>15</v>
      </c>
      <c r="N457" s="4" t="s">
        <v>623</v>
      </c>
      <c r="O457" s="4" t="s">
        <v>625</v>
      </c>
      <c r="P457" s="5">
        <v>0.18</v>
      </c>
      <c r="Q457" s="14">
        <f t="shared" ref="Q457:Q458" si="42">PMT($V$3/12,$V$6,-$V$2)</f>
        <v>25393.427427109084</v>
      </c>
      <c r="R457" s="4">
        <v>580000</v>
      </c>
      <c r="S457" s="2" t="s">
        <v>12</v>
      </c>
    </row>
    <row r="458" spans="1:19" x14ac:dyDescent="0.3">
      <c r="A458" s="4">
        <v>457</v>
      </c>
      <c r="B458" s="4" t="s">
        <v>477</v>
      </c>
      <c r="C458" s="4" t="s">
        <v>11</v>
      </c>
      <c r="D458" s="4" t="s">
        <v>17</v>
      </c>
      <c r="E458" s="4" t="s">
        <v>22</v>
      </c>
      <c r="F458" s="4" t="s">
        <v>12</v>
      </c>
      <c r="G458" s="4">
        <v>45000</v>
      </c>
      <c r="H458" s="4">
        <v>40000</v>
      </c>
      <c r="I458" s="13">
        <v>1000000</v>
      </c>
      <c r="J458" s="4">
        <v>60</v>
      </c>
      <c r="K458" s="4">
        <v>0</v>
      </c>
      <c r="L458" s="4" t="s">
        <v>14</v>
      </c>
      <c r="M458" s="4" t="s">
        <v>19</v>
      </c>
      <c r="N458" s="4" t="s">
        <v>623</v>
      </c>
      <c r="O458" s="4" t="s">
        <v>625</v>
      </c>
      <c r="P458" s="5">
        <v>0.18</v>
      </c>
      <c r="Q458" s="14">
        <f t="shared" si="42"/>
        <v>25393.427427109084</v>
      </c>
      <c r="R458" s="4">
        <v>500000</v>
      </c>
      <c r="S458" s="2" t="s">
        <v>12</v>
      </c>
    </row>
    <row r="459" spans="1:19" x14ac:dyDescent="0.3">
      <c r="A459" s="4">
        <v>458</v>
      </c>
      <c r="B459" s="4" t="s">
        <v>478</v>
      </c>
      <c r="C459" s="4" t="s">
        <v>38</v>
      </c>
      <c r="D459" s="4" t="s">
        <v>17</v>
      </c>
      <c r="E459" s="4" t="s">
        <v>22</v>
      </c>
      <c r="F459" s="4" t="s">
        <v>17</v>
      </c>
      <c r="G459" s="4">
        <v>25000</v>
      </c>
      <c r="H459" s="4">
        <v>0</v>
      </c>
      <c r="I459" s="13">
        <v>500000</v>
      </c>
      <c r="J459" s="4">
        <v>60</v>
      </c>
      <c r="K459" s="4">
        <v>1</v>
      </c>
      <c r="L459" s="4" t="s">
        <v>27</v>
      </c>
      <c r="M459" s="4" t="s">
        <v>15</v>
      </c>
      <c r="N459" s="4" t="s">
        <v>623</v>
      </c>
      <c r="O459" s="4" t="s">
        <v>625</v>
      </c>
      <c r="P459" s="5">
        <v>0.18</v>
      </c>
      <c r="Q459" s="14">
        <f t="shared" ref="Q459:Q460" si="43">PMT($V$15/12,$V$18,-$V$14)</f>
        <v>12696.713713554542</v>
      </c>
      <c r="R459" s="4" t="s">
        <v>635</v>
      </c>
      <c r="S459" s="2" t="s">
        <v>12</v>
      </c>
    </row>
    <row r="460" spans="1:19" x14ac:dyDescent="0.3">
      <c r="A460" s="4">
        <v>459</v>
      </c>
      <c r="B460" s="4" t="s">
        <v>479</v>
      </c>
      <c r="C460" s="4" t="s">
        <v>11</v>
      </c>
      <c r="D460" s="4" t="s">
        <v>17</v>
      </c>
      <c r="E460" s="4" t="s">
        <v>13</v>
      </c>
      <c r="F460" s="4" t="s">
        <v>12</v>
      </c>
      <c r="G460" s="4">
        <v>50000</v>
      </c>
      <c r="H460" s="4">
        <v>0</v>
      </c>
      <c r="I460" s="13">
        <v>500000</v>
      </c>
      <c r="J460" s="4">
        <v>60</v>
      </c>
      <c r="K460" s="4">
        <v>1</v>
      </c>
      <c r="L460" s="4" t="s">
        <v>14</v>
      </c>
      <c r="M460" s="4" t="s">
        <v>19</v>
      </c>
      <c r="N460" s="4" t="s">
        <v>623</v>
      </c>
      <c r="O460" s="4" t="s">
        <v>625</v>
      </c>
      <c r="P460" s="5">
        <v>0.18</v>
      </c>
      <c r="Q460" s="14">
        <f t="shared" si="43"/>
        <v>12696.713713554542</v>
      </c>
      <c r="R460" s="4">
        <v>400000</v>
      </c>
      <c r="S460" s="2" t="s">
        <v>12</v>
      </c>
    </row>
    <row r="461" spans="1:19" x14ac:dyDescent="0.3">
      <c r="A461" s="4">
        <v>460</v>
      </c>
      <c r="B461" s="4" t="s">
        <v>480</v>
      </c>
      <c r="C461" s="4" t="s">
        <v>11</v>
      </c>
      <c r="D461" s="4" t="s">
        <v>17</v>
      </c>
      <c r="E461" s="4" t="s">
        <v>13</v>
      </c>
      <c r="F461" s="4" t="s">
        <v>17</v>
      </c>
      <c r="G461" s="4">
        <v>15000</v>
      </c>
      <c r="H461" s="4">
        <v>10000</v>
      </c>
      <c r="I461" s="13">
        <v>600000</v>
      </c>
      <c r="J461" s="4">
        <v>60</v>
      </c>
      <c r="K461" s="4">
        <v>1</v>
      </c>
      <c r="L461" s="4" t="s">
        <v>27</v>
      </c>
      <c r="M461" s="4" t="s">
        <v>15</v>
      </c>
      <c r="N461" s="4" t="s">
        <v>623</v>
      </c>
      <c r="O461" s="4" t="s">
        <v>625</v>
      </c>
      <c r="P461" s="5">
        <v>0.18</v>
      </c>
      <c r="Q461" s="14">
        <f>PMT($V$39/12,$V$42,-$V$38)</f>
        <v>15236.056456265451</v>
      </c>
      <c r="R461" s="4" t="s">
        <v>635</v>
      </c>
      <c r="S461" s="2" t="s">
        <v>12</v>
      </c>
    </row>
    <row r="462" spans="1:19" x14ac:dyDescent="0.3">
      <c r="A462" s="4">
        <v>461</v>
      </c>
      <c r="B462" s="4" t="s">
        <v>481</v>
      </c>
      <c r="C462" s="4" t="s">
        <v>11</v>
      </c>
      <c r="D462" s="4" t="s">
        <v>17</v>
      </c>
      <c r="E462" s="4" t="s">
        <v>22</v>
      </c>
      <c r="F462" s="4" t="s">
        <v>12</v>
      </c>
      <c r="G462" s="4">
        <v>150000</v>
      </c>
      <c r="H462" s="4">
        <v>0</v>
      </c>
      <c r="I462" s="13">
        <v>2000000</v>
      </c>
      <c r="J462" s="4">
        <v>60</v>
      </c>
      <c r="K462" s="4">
        <v>0</v>
      </c>
      <c r="L462" s="4" t="s">
        <v>18</v>
      </c>
      <c r="M462" s="4" t="s">
        <v>19</v>
      </c>
      <c r="N462" s="4" t="s">
        <v>623</v>
      </c>
      <c r="O462" s="4" t="s">
        <v>625</v>
      </c>
      <c r="P462" s="5">
        <v>0.18</v>
      </c>
      <c r="Q462" s="14">
        <f>PMT($V$27/12,$V$30,-$V$26)</f>
        <v>50786.854854218167</v>
      </c>
      <c r="R462" s="4">
        <v>900000</v>
      </c>
      <c r="S462" s="2" t="s">
        <v>12</v>
      </c>
    </row>
    <row r="463" spans="1:19" x14ac:dyDescent="0.3">
      <c r="A463" s="4">
        <v>462</v>
      </c>
      <c r="B463" s="4" t="s">
        <v>482</v>
      </c>
      <c r="C463" s="4" t="s">
        <v>11</v>
      </c>
      <c r="D463" s="4" t="s">
        <v>17</v>
      </c>
      <c r="E463" s="4" t="s">
        <v>13</v>
      </c>
      <c r="F463" s="4" t="s">
        <v>12</v>
      </c>
      <c r="G463" s="4">
        <v>21654</v>
      </c>
      <c r="H463" s="4">
        <v>14620</v>
      </c>
      <c r="I463" s="13">
        <v>489300</v>
      </c>
      <c r="J463" s="4">
        <v>60</v>
      </c>
      <c r="K463" s="4">
        <v>1</v>
      </c>
      <c r="L463" s="4" t="s">
        <v>27</v>
      </c>
      <c r="M463" s="4" t="s">
        <v>15</v>
      </c>
      <c r="N463" s="4" t="s">
        <v>623</v>
      </c>
      <c r="O463" s="4" t="s">
        <v>625</v>
      </c>
      <c r="P463" s="5">
        <v>0.18</v>
      </c>
      <c r="Q463" s="14">
        <f>PMT($AB$57/12,$AB$60,-$AB$56)</f>
        <v>12425.004040084474</v>
      </c>
      <c r="R463" s="4" t="s">
        <v>635</v>
      </c>
      <c r="S463" s="2" t="s">
        <v>12</v>
      </c>
    </row>
    <row r="464" spans="1:19" x14ac:dyDescent="0.3">
      <c r="A464" s="4">
        <v>463</v>
      </c>
      <c r="B464" s="4" t="s">
        <v>483</v>
      </c>
      <c r="C464" s="4" t="s">
        <v>38</v>
      </c>
      <c r="D464" s="4" t="s">
        <v>12</v>
      </c>
      <c r="E464" s="4" t="s">
        <v>13</v>
      </c>
      <c r="F464" s="4" t="s">
        <v>17</v>
      </c>
      <c r="G464" s="4">
        <v>25000</v>
      </c>
      <c r="H464" s="4">
        <v>0</v>
      </c>
      <c r="I464" s="13">
        <v>500000</v>
      </c>
      <c r="J464" s="4">
        <v>60</v>
      </c>
      <c r="K464" s="4">
        <v>0</v>
      </c>
      <c r="L464" s="4" t="s">
        <v>14</v>
      </c>
      <c r="M464" s="4" t="s">
        <v>15</v>
      </c>
      <c r="N464" s="4" t="s">
        <v>623</v>
      </c>
      <c r="O464" s="4" t="s">
        <v>625</v>
      </c>
      <c r="P464" s="5">
        <v>0.18</v>
      </c>
      <c r="Q464" s="14">
        <f>PMT($V$15/12,$V$18,-$V$14)</f>
        <v>12696.713713554542</v>
      </c>
      <c r="R464" s="4" t="s">
        <v>635</v>
      </c>
      <c r="S464" s="2" t="s">
        <v>17</v>
      </c>
    </row>
    <row r="465" spans="1:19" x14ac:dyDescent="0.3">
      <c r="A465" s="4">
        <v>464</v>
      </c>
      <c r="B465" s="4" t="s">
        <v>484</v>
      </c>
      <c r="C465" s="4" t="s">
        <v>11</v>
      </c>
      <c r="D465" s="4" t="s">
        <v>12</v>
      </c>
      <c r="E465" s="4" t="s">
        <v>13</v>
      </c>
      <c r="F465" s="4" t="s">
        <v>12</v>
      </c>
      <c r="G465" s="4">
        <v>35700</v>
      </c>
      <c r="H465" s="4">
        <v>0</v>
      </c>
      <c r="I465" s="13">
        <v>478000</v>
      </c>
      <c r="J465" s="4">
        <v>60</v>
      </c>
      <c r="K465" s="4">
        <v>1</v>
      </c>
      <c r="L465" s="4" t="s">
        <v>18</v>
      </c>
      <c r="M465" s="4" t="s">
        <v>15</v>
      </c>
      <c r="N465" s="4" t="s">
        <v>623</v>
      </c>
      <c r="O465" s="4" t="s">
        <v>625</v>
      </c>
      <c r="P465" s="5">
        <v>0.18</v>
      </c>
      <c r="Q465" s="14">
        <f>PMT($V$63/12,$V$66,-$V$62)</f>
        <v>12138.058310158141</v>
      </c>
      <c r="R465" s="4">
        <v>300000</v>
      </c>
      <c r="S465" s="2" t="s">
        <v>17</v>
      </c>
    </row>
    <row r="466" spans="1:19" x14ac:dyDescent="0.3">
      <c r="A466" s="4">
        <v>465</v>
      </c>
      <c r="B466" s="4" t="s">
        <v>485</v>
      </c>
      <c r="C466" s="4" t="s">
        <v>11</v>
      </c>
      <c r="D466" s="4" t="s">
        <v>17</v>
      </c>
      <c r="E466" s="4" t="s">
        <v>13</v>
      </c>
      <c r="F466" s="4" t="s">
        <v>17</v>
      </c>
      <c r="G466" s="4">
        <v>48550</v>
      </c>
      <c r="H466" s="4">
        <v>54800</v>
      </c>
      <c r="I466" s="13">
        <v>748890</v>
      </c>
      <c r="J466" s="4">
        <v>60</v>
      </c>
      <c r="K466" s="4">
        <v>1</v>
      </c>
      <c r="L466" s="4" t="s">
        <v>18</v>
      </c>
      <c r="M466" s="4" t="s">
        <v>15</v>
      </c>
      <c r="N466" s="4" t="s">
        <v>623</v>
      </c>
      <c r="O466" s="4" t="s">
        <v>625</v>
      </c>
      <c r="P466" s="5">
        <v>0.18</v>
      </c>
      <c r="Q466" s="14">
        <f>PMT($Y$63/12,$Y$66,-$Y$62)</f>
        <v>19016.883865887721</v>
      </c>
      <c r="R466" s="4">
        <v>455000</v>
      </c>
      <c r="S466" s="2" t="s">
        <v>12</v>
      </c>
    </row>
    <row r="467" spans="1:19" x14ac:dyDescent="0.3">
      <c r="A467" s="4">
        <v>466</v>
      </c>
      <c r="B467" s="4" t="s">
        <v>486</v>
      </c>
      <c r="C467" s="4" t="s">
        <v>11</v>
      </c>
      <c r="D467" s="4" t="s">
        <v>17</v>
      </c>
      <c r="E467" s="4" t="s">
        <v>13</v>
      </c>
      <c r="F467" s="4" t="s">
        <v>12</v>
      </c>
      <c r="G467" s="4">
        <v>150000</v>
      </c>
      <c r="H467" s="4">
        <v>0</v>
      </c>
      <c r="I467" s="13">
        <v>1500000</v>
      </c>
      <c r="J467" s="4">
        <v>60</v>
      </c>
      <c r="K467" s="4">
        <v>1</v>
      </c>
      <c r="L467" s="4" t="s">
        <v>27</v>
      </c>
      <c r="M467" s="4" t="s">
        <v>15</v>
      </c>
      <c r="N467" s="4" t="s">
        <v>623</v>
      </c>
      <c r="O467" s="4" t="s">
        <v>625</v>
      </c>
      <c r="P467" s="5">
        <v>0.18</v>
      </c>
      <c r="Q467" s="14">
        <f>PMT($V$9/12,$V$12,-$V$8)</f>
        <v>38090.141140663625</v>
      </c>
      <c r="R467" s="4">
        <v>900000</v>
      </c>
      <c r="S467" s="2" t="s">
        <v>12</v>
      </c>
    </row>
    <row r="468" spans="1:19" x14ac:dyDescent="0.3">
      <c r="A468" s="4">
        <v>467</v>
      </c>
      <c r="B468" s="4" t="s">
        <v>487</v>
      </c>
      <c r="C468" s="4" t="s">
        <v>11</v>
      </c>
      <c r="D468" s="4" t="s">
        <v>17</v>
      </c>
      <c r="E468" s="4" t="s">
        <v>13</v>
      </c>
      <c r="F468" s="4" t="s">
        <v>17</v>
      </c>
      <c r="G468" s="4">
        <v>50000</v>
      </c>
      <c r="H468" s="4">
        <v>0</v>
      </c>
      <c r="I468" s="13">
        <v>1000000</v>
      </c>
      <c r="J468" s="4">
        <v>60</v>
      </c>
      <c r="K468" s="4">
        <v>1</v>
      </c>
      <c r="L468" s="4" t="s">
        <v>27</v>
      </c>
      <c r="M468" s="4" t="s">
        <v>15</v>
      </c>
      <c r="N468" s="4" t="s">
        <v>623</v>
      </c>
      <c r="O468" s="4" t="s">
        <v>625</v>
      </c>
      <c r="P468" s="5">
        <v>0.18</v>
      </c>
      <c r="Q468" s="14">
        <f>PMT($V$3/12,$V$6,-$V$2)</f>
        <v>25393.427427109084</v>
      </c>
      <c r="R468" s="4">
        <v>600000</v>
      </c>
      <c r="S468" s="2" t="s">
        <v>12</v>
      </c>
    </row>
    <row r="469" spans="1:19" x14ac:dyDescent="0.3">
      <c r="A469" s="4">
        <v>468</v>
      </c>
      <c r="B469" s="4" t="s">
        <v>488</v>
      </c>
      <c r="C469" s="4" t="s">
        <v>11</v>
      </c>
      <c r="D469" s="4" t="s">
        <v>17</v>
      </c>
      <c r="E469" s="4" t="s">
        <v>13</v>
      </c>
      <c r="F469" s="4" t="s">
        <v>12</v>
      </c>
      <c r="G469" s="4">
        <v>100000</v>
      </c>
      <c r="H469" s="4">
        <v>35000</v>
      </c>
      <c r="I469" s="13">
        <v>1500000</v>
      </c>
      <c r="J469" s="4">
        <v>60</v>
      </c>
      <c r="K469" s="4">
        <v>1</v>
      </c>
      <c r="L469" s="4" t="s">
        <v>14</v>
      </c>
      <c r="M469" s="4" t="s">
        <v>19</v>
      </c>
      <c r="N469" s="4" t="s">
        <v>623</v>
      </c>
      <c r="O469" s="4" t="s">
        <v>625</v>
      </c>
      <c r="P469" s="5">
        <v>0.18</v>
      </c>
      <c r="Q469" s="14">
        <f t="shared" ref="Q469:Q470" si="44">PMT($V$9/12,$V$12,-$V$8)</f>
        <v>38090.141140663625</v>
      </c>
      <c r="R469" s="4">
        <v>1000000</v>
      </c>
      <c r="S469" s="2" t="s">
        <v>12</v>
      </c>
    </row>
    <row r="470" spans="1:19" x14ac:dyDescent="0.3">
      <c r="A470" s="4">
        <v>469</v>
      </c>
      <c r="B470" s="4" t="s">
        <v>489</v>
      </c>
      <c r="C470" s="4" t="s">
        <v>38</v>
      </c>
      <c r="D470" s="4" t="s">
        <v>12</v>
      </c>
      <c r="E470" s="4" t="s">
        <v>22</v>
      </c>
      <c r="F470" s="4" t="s">
        <v>12</v>
      </c>
      <c r="G470" s="4">
        <v>80000</v>
      </c>
      <c r="H470" s="4">
        <v>0</v>
      </c>
      <c r="I470" s="13">
        <v>1500000</v>
      </c>
      <c r="J470" s="4">
        <v>60</v>
      </c>
      <c r="K470" s="4">
        <v>1</v>
      </c>
      <c r="L470" s="4" t="s">
        <v>18</v>
      </c>
      <c r="M470" s="4" t="s">
        <v>15</v>
      </c>
      <c r="N470" s="4" t="s">
        <v>623</v>
      </c>
      <c r="O470" s="4" t="s">
        <v>625</v>
      </c>
      <c r="P470" s="5">
        <v>0.18</v>
      </c>
      <c r="Q470" s="14">
        <f t="shared" si="44"/>
        <v>38090.141140663625</v>
      </c>
      <c r="R470" s="4">
        <v>800000</v>
      </c>
      <c r="S470" s="2" t="s">
        <v>12</v>
      </c>
    </row>
    <row r="471" spans="1:19" x14ac:dyDescent="0.3">
      <c r="A471" s="4">
        <v>470</v>
      </c>
      <c r="B471" s="4" t="s">
        <v>490</v>
      </c>
      <c r="C471" s="4" t="s">
        <v>11</v>
      </c>
      <c r="D471" s="4" t="s">
        <v>17</v>
      </c>
      <c r="E471" s="4" t="s">
        <v>22</v>
      </c>
      <c r="F471" s="4" t="s">
        <v>12</v>
      </c>
      <c r="G471" s="4">
        <v>50000</v>
      </c>
      <c r="H471" s="4">
        <v>0</v>
      </c>
      <c r="I471" s="13">
        <v>500000</v>
      </c>
      <c r="J471" s="4">
        <v>60</v>
      </c>
      <c r="K471" s="4">
        <v>1</v>
      </c>
      <c r="L471" s="4" t="s">
        <v>18</v>
      </c>
      <c r="M471" s="4" t="s">
        <v>15</v>
      </c>
      <c r="N471" s="4" t="s">
        <v>623</v>
      </c>
      <c r="O471" s="4" t="s">
        <v>625</v>
      </c>
      <c r="P471" s="5">
        <v>0.18</v>
      </c>
      <c r="Q471" s="14">
        <f>PMT($V$15/12,$V$18,-$V$14)</f>
        <v>12696.713713554542</v>
      </c>
      <c r="R471" s="4">
        <v>455000</v>
      </c>
      <c r="S471" s="2" t="s">
        <v>17</v>
      </c>
    </row>
    <row r="472" spans="1:19" x14ac:dyDescent="0.3">
      <c r="A472" s="4">
        <v>471</v>
      </c>
      <c r="B472" s="4" t="s">
        <v>491</v>
      </c>
      <c r="C472" s="4" t="s">
        <v>11</v>
      </c>
      <c r="D472" s="4" t="s">
        <v>17</v>
      </c>
      <c r="E472" s="4" t="s">
        <v>13</v>
      </c>
      <c r="F472" s="4" t="s">
        <v>12</v>
      </c>
      <c r="G472" s="4">
        <v>200000</v>
      </c>
      <c r="H472" s="4">
        <v>50000</v>
      </c>
      <c r="I472" s="13">
        <v>3000000</v>
      </c>
      <c r="J472" s="4">
        <v>60</v>
      </c>
      <c r="K472" s="4">
        <v>1</v>
      </c>
      <c r="L472" s="4" t="s">
        <v>27</v>
      </c>
      <c r="M472" s="4" t="s">
        <v>15</v>
      </c>
      <c r="N472" s="4" t="s">
        <v>623</v>
      </c>
      <c r="O472" s="4" t="s">
        <v>625</v>
      </c>
      <c r="P472" s="5">
        <v>0.18</v>
      </c>
      <c r="Q472" s="14">
        <f>PMT($Y$81/12,$Y$84,-$Y$80)</f>
        <v>76180.282281327251</v>
      </c>
      <c r="R472" s="4">
        <v>1500000</v>
      </c>
      <c r="S472" s="2" t="s">
        <v>12</v>
      </c>
    </row>
    <row r="473" spans="1:19" x14ac:dyDescent="0.3">
      <c r="A473" s="4">
        <v>472</v>
      </c>
      <c r="B473" s="4" t="s">
        <v>492</v>
      </c>
      <c r="C473" s="4" t="s">
        <v>11</v>
      </c>
      <c r="D473" s="4" t="s">
        <v>17</v>
      </c>
      <c r="E473" s="4" t="s">
        <v>13</v>
      </c>
      <c r="F473" s="4" t="s">
        <v>12</v>
      </c>
      <c r="G473" s="4">
        <v>50000</v>
      </c>
      <c r="H473" s="4">
        <v>35000</v>
      </c>
      <c r="I473" s="13">
        <v>1500000</v>
      </c>
      <c r="J473" s="4">
        <v>60</v>
      </c>
      <c r="K473" s="4">
        <v>1</v>
      </c>
      <c r="L473" s="4" t="s">
        <v>27</v>
      </c>
      <c r="M473" s="4" t="s">
        <v>15</v>
      </c>
      <c r="N473" s="4" t="s">
        <v>623</v>
      </c>
      <c r="O473" s="4" t="s">
        <v>625</v>
      </c>
      <c r="P473" s="5">
        <v>0.18</v>
      </c>
      <c r="Q473" s="14">
        <f>PMT($V$9/12,$V$12,-$V$8)</f>
        <v>38090.141140663625</v>
      </c>
      <c r="R473" s="4">
        <v>800000</v>
      </c>
      <c r="S473" s="2" t="s">
        <v>17</v>
      </c>
    </row>
    <row r="474" spans="1:19" x14ac:dyDescent="0.3">
      <c r="A474" s="4">
        <v>473</v>
      </c>
      <c r="B474" s="4" t="s">
        <v>493</v>
      </c>
      <c r="C474" s="4" t="s">
        <v>11</v>
      </c>
      <c r="D474" s="4" t="s">
        <v>17</v>
      </c>
      <c r="E474" s="4" t="s">
        <v>13</v>
      </c>
      <c r="F474" s="4" t="s">
        <v>12</v>
      </c>
      <c r="G474" s="4">
        <v>85000</v>
      </c>
      <c r="H474" s="4">
        <v>0</v>
      </c>
      <c r="I474" s="13">
        <v>1000000</v>
      </c>
      <c r="J474" s="4">
        <v>60</v>
      </c>
      <c r="K474" s="4">
        <v>1</v>
      </c>
      <c r="L474" s="4" t="s">
        <v>27</v>
      </c>
      <c r="M474" s="4" t="s">
        <v>15</v>
      </c>
      <c r="N474" s="4" t="s">
        <v>623</v>
      </c>
      <c r="O474" s="4" t="s">
        <v>625</v>
      </c>
      <c r="P474" s="5">
        <v>0.18</v>
      </c>
      <c r="Q474" s="14">
        <f>PMT($V$3/12,$V$6,-$V$2)</f>
        <v>25393.427427109084</v>
      </c>
      <c r="R474" s="4">
        <v>655000</v>
      </c>
      <c r="S474" s="2" t="s">
        <v>12</v>
      </c>
    </row>
    <row r="475" spans="1:19" x14ac:dyDescent="0.3">
      <c r="A475" s="4">
        <v>474</v>
      </c>
      <c r="B475" s="4" t="s">
        <v>494</v>
      </c>
      <c r="C475" s="4" t="s">
        <v>11</v>
      </c>
      <c r="D475" s="4" t="s">
        <v>17</v>
      </c>
      <c r="E475" s="4" t="s">
        <v>22</v>
      </c>
      <c r="F475" s="4" t="s">
        <v>12</v>
      </c>
      <c r="G475" s="4">
        <v>50000</v>
      </c>
      <c r="H475" s="4">
        <v>30000</v>
      </c>
      <c r="I475" s="13">
        <v>2000000</v>
      </c>
      <c r="J475" s="4">
        <v>60</v>
      </c>
      <c r="K475" s="4">
        <v>1</v>
      </c>
      <c r="L475" s="4" t="s">
        <v>18</v>
      </c>
      <c r="M475" s="4" t="s">
        <v>15</v>
      </c>
      <c r="N475" s="4" t="s">
        <v>623</v>
      </c>
      <c r="O475" s="4" t="s">
        <v>625</v>
      </c>
      <c r="P475" s="5">
        <v>0.18</v>
      </c>
      <c r="Q475" s="14">
        <f>PMT($V$27/12,$V$30,-$V$26)</f>
        <v>50786.854854218167</v>
      </c>
      <c r="R475" s="4">
        <v>600000</v>
      </c>
      <c r="S475" s="2" t="s">
        <v>12</v>
      </c>
    </row>
    <row r="476" spans="1:19" x14ac:dyDescent="0.3">
      <c r="A476" s="4">
        <v>475</v>
      </c>
      <c r="B476" s="4" t="s">
        <v>495</v>
      </c>
      <c r="C476" s="4" t="s">
        <v>11</v>
      </c>
      <c r="D476" s="4" t="s">
        <v>12</v>
      </c>
      <c r="E476" s="4" t="s">
        <v>13</v>
      </c>
      <c r="F476" s="4" t="s">
        <v>12</v>
      </c>
      <c r="G476" s="4">
        <v>65000</v>
      </c>
      <c r="H476" s="4">
        <v>20000</v>
      </c>
      <c r="I476" s="13">
        <v>800000</v>
      </c>
      <c r="J476" s="4">
        <v>60</v>
      </c>
      <c r="K476" s="4">
        <v>0</v>
      </c>
      <c r="L476" s="4" t="s">
        <v>18</v>
      </c>
      <c r="M476" s="4" t="s">
        <v>19</v>
      </c>
      <c r="N476" s="4" t="s">
        <v>623</v>
      </c>
      <c r="O476" s="4" t="s">
        <v>625</v>
      </c>
      <c r="P476" s="5">
        <v>0.18</v>
      </c>
      <c r="Q476" s="14">
        <f>PMT($V$33/12,$V$36,-$V$32)</f>
        <v>20314.741941687265</v>
      </c>
      <c r="R476" s="4">
        <v>566000</v>
      </c>
      <c r="S476" s="2" t="s">
        <v>17</v>
      </c>
    </row>
    <row r="477" spans="1:19" x14ac:dyDescent="0.3">
      <c r="A477" s="4">
        <v>476</v>
      </c>
      <c r="B477" s="4" t="s">
        <v>496</v>
      </c>
      <c r="C477" s="4" t="s">
        <v>11</v>
      </c>
      <c r="D477" s="4" t="s">
        <v>17</v>
      </c>
      <c r="E477" s="4" t="s">
        <v>13</v>
      </c>
      <c r="F477" s="4" t="s">
        <v>12</v>
      </c>
      <c r="G477" s="4">
        <v>55000</v>
      </c>
      <c r="H477" s="4">
        <v>25000</v>
      </c>
      <c r="I477" s="13">
        <v>1000000</v>
      </c>
      <c r="J477" s="4">
        <v>60</v>
      </c>
      <c r="K477" s="4">
        <v>1</v>
      </c>
      <c r="L477" s="4" t="s">
        <v>14</v>
      </c>
      <c r="M477" s="4" t="s">
        <v>19</v>
      </c>
      <c r="N477" s="4" t="s">
        <v>623</v>
      </c>
      <c r="O477" s="4" t="s">
        <v>625</v>
      </c>
      <c r="P477" s="5">
        <v>0.18</v>
      </c>
      <c r="Q477" s="14">
        <f>PMT($V$3/12,$V$6,-$V$2)</f>
        <v>25393.427427109084</v>
      </c>
      <c r="R477" s="4">
        <v>550000</v>
      </c>
      <c r="S477" s="2" t="s">
        <v>17</v>
      </c>
    </row>
    <row r="478" spans="1:19" x14ac:dyDescent="0.3">
      <c r="A478" s="4">
        <v>477</v>
      </c>
      <c r="B478" s="4" t="s">
        <v>497</v>
      </c>
      <c r="C478" s="4" t="s">
        <v>11</v>
      </c>
      <c r="D478" s="4" t="s">
        <v>17</v>
      </c>
      <c r="E478" s="4" t="s">
        <v>13</v>
      </c>
      <c r="F478" s="4" t="s">
        <v>17</v>
      </c>
      <c r="G478" s="4">
        <v>48550</v>
      </c>
      <c r="H478" s="4">
        <v>54800</v>
      </c>
      <c r="I478" s="13">
        <v>748890</v>
      </c>
      <c r="J478" s="4">
        <v>60</v>
      </c>
      <c r="K478" s="4">
        <v>1</v>
      </c>
      <c r="L478" s="4" t="s">
        <v>27</v>
      </c>
      <c r="M478" s="4" t="s">
        <v>15</v>
      </c>
      <c r="N478" s="4" t="s">
        <v>623</v>
      </c>
      <c r="O478" s="4" t="s">
        <v>625</v>
      </c>
      <c r="P478" s="5">
        <v>0.18</v>
      </c>
      <c r="Q478" s="14">
        <f>PMT($Y$63/12,$Y$66,-$Y$62)</f>
        <v>19016.883865887721</v>
      </c>
      <c r="R478" s="4">
        <v>569000</v>
      </c>
      <c r="S478" s="2" t="s">
        <v>12</v>
      </c>
    </row>
    <row r="479" spans="1:19" x14ac:dyDescent="0.3">
      <c r="A479" s="4">
        <v>478</v>
      </c>
      <c r="B479" s="4" t="s">
        <v>498</v>
      </c>
      <c r="C479" s="4" t="s">
        <v>11</v>
      </c>
      <c r="D479" s="4" t="s">
        <v>12</v>
      </c>
      <c r="E479" s="4" t="s">
        <v>13</v>
      </c>
      <c r="F479" s="4" t="s">
        <v>12</v>
      </c>
      <c r="G479" s="4">
        <v>150000</v>
      </c>
      <c r="H479" s="4">
        <v>0</v>
      </c>
      <c r="I479" s="13">
        <v>1500000</v>
      </c>
      <c r="J479" s="4">
        <v>60</v>
      </c>
      <c r="K479" s="4">
        <v>1</v>
      </c>
      <c r="L479" s="4" t="s">
        <v>14</v>
      </c>
      <c r="M479" s="4" t="s">
        <v>19</v>
      </c>
      <c r="N479" s="4" t="s">
        <v>623</v>
      </c>
      <c r="O479" s="4" t="s">
        <v>625</v>
      </c>
      <c r="P479" s="5">
        <v>0.18</v>
      </c>
      <c r="Q479" s="14">
        <f>PMT($V$9/12,$V$12,-$V$8)</f>
        <v>38090.141140663625</v>
      </c>
      <c r="R479" s="4">
        <v>800000</v>
      </c>
      <c r="S479" s="2" t="s">
        <v>12</v>
      </c>
    </row>
    <row r="480" spans="1:19" x14ac:dyDescent="0.3">
      <c r="A480" s="4">
        <v>479</v>
      </c>
      <c r="B480" s="4" t="s">
        <v>499</v>
      </c>
      <c r="C480" s="4" t="s">
        <v>11</v>
      </c>
      <c r="D480" s="4" t="s">
        <v>12</v>
      </c>
      <c r="E480" s="4" t="s">
        <v>22</v>
      </c>
      <c r="F480" s="4" t="s">
        <v>12</v>
      </c>
      <c r="G480" s="4">
        <v>50000</v>
      </c>
      <c r="H480" s="4">
        <v>0</v>
      </c>
      <c r="I480" s="13">
        <v>1000000</v>
      </c>
      <c r="J480" s="4">
        <v>60</v>
      </c>
      <c r="K480" s="4">
        <v>0</v>
      </c>
      <c r="L480" s="4" t="s">
        <v>27</v>
      </c>
      <c r="M480" s="4" t="s">
        <v>15</v>
      </c>
      <c r="N480" s="4" t="s">
        <v>623</v>
      </c>
      <c r="O480" s="4" t="s">
        <v>625</v>
      </c>
      <c r="P480" s="5">
        <v>0.18</v>
      </c>
      <c r="Q480" s="14">
        <f>PMT($V$3/12,$V$6,-$V$2)</f>
        <v>25393.427427109084</v>
      </c>
      <c r="R480" s="4">
        <v>460000</v>
      </c>
      <c r="S480" s="2" t="s">
        <v>17</v>
      </c>
    </row>
    <row r="481" spans="1:19" x14ac:dyDescent="0.3">
      <c r="A481" s="4">
        <v>480</v>
      </c>
      <c r="B481" s="4" t="s">
        <v>500</v>
      </c>
      <c r="C481" s="4" t="s">
        <v>11</v>
      </c>
      <c r="D481" s="4" t="s">
        <v>17</v>
      </c>
      <c r="E481" s="4" t="s">
        <v>22</v>
      </c>
      <c r="F481" s="4" t="s">
        <v>12</v>
      </c>
      <c r="G481" s="4">
        <v>100000</v>
      </c>
      <c r="H481" s="4">
        <v>35000</v>
      </c>
      <c r="I481" s="13">
        <v>1500000</v>
      </c>
      <c r="J481" s="4">
        <v>60</v>
      </c>
      <c r="K481" s="4">
        <v>0</v>
      </c>
      <c r="L481" s="4" t="s">
        <v>14</v>
      </c>
      <c r="M481" s="4" t="s">
        <v>15</v>
      </c>
      <c r="N481" s="4" t="s">
        <v>623</v>
      </c>
      <c r="O481" s="4" t="s">
        <v>625</v>
      </c>
      <c r="P481" s="5">
        <v>0.18</v>
      </c>
      <c r="Q481" s="14">
        <f t="shared" ref="Q481:Q482" si="45">PMT($V$9/12,$V$12,-$V$8)</f>
        <v>38090.141140663625</v>
      </c>
      <c r="R481" s="4">
        <v>985000</v>
      </c>
      <c r="S481" s="2" t="s">
        <v>17</v>
      </c>
    </row>
    <row r="482" spans="1:19" x14ac:dyDescent="0.3">
      <c r="A482" s="4">
        <v>481</v>
      </c>
      <c r="B482" s="4" t="s">
        <v>501</v>
      </c>
      <c r="C482" s="4" t="s">
        <v>11</v>
      </c>
      <c r="D482" s="4" t="s">
        <v>12</v>
      </c>
      <c r="E482" s="4" t="s">
        <v>22</v>
      </c>
      <c r="F482" s="4" t="s">
        <v>12</v>
      </c>
      <c r="G482" s="4">
        <v>80000</v>
      </c>
      <c r="H482" s="4">
        <v>0</v>
      </c>
      <c r="I482" s="13">
        <v>1500000</v>
      </c>
      <c r="J482" s="4">
        <v>60</v>
      </c>
      <c r="K482" s="4">
        <v>1</v>
      </c>
      <c r="L482" s="4" t="s">
        <v>18</v>
      </c>
      <c r="M482" s="4" t="s">
        <v>15</v>
      </c>
      <c r="N482" s="4" t="s">
        <v>623</v>
      </c>
      <c r="O482" s="4" t="s">
        <v>625</v>
      </c>
      <c r="P482" s="5">
        <v>0.18</v>
      </c>
      <c r="Q482" s="14">
        <f t="shared" si="45"/>
        <v>38090.141140663625</v>
      </c>
      <c r="R482" s="4">
        <v>750000</v>
      </c>
      <c r="S482" s="2" t="s">
        <v>12</v>
      </c>
    </row>
    <row r="483" spans="1:19" x14ac:dyDescent="0.3">
      <c r="A483" s="4">
        <v>482</v>
      </c>
      <c r="B483" s="4" t="s">
        <v>502</v>
      </c>
      <c r="C483" s="4" t="s">
        <v>38</v>
      </c>
      <c r="D483" s="4" t="s">
        <v>12</v>
      </c>
      <c r="E483" s="4" t="s">
        <v>22</v>
      </c>
      <c r="F483" s="4" t="s">
        <v>17</v>
      </c>
      <c r="G483" s="4">
        <v>65000</v>
      </c>
      <c r="H483" s="4">
        <v>20000</v>
      </c>
      <c r="I483" s="13">
        <v>800000</v>
      </c>
      <c r="J483" s="4">
        <v>60</v>
      </c>
      <c r="K483" s="4">
        <v>1</v>
      </c>
      <c r="L483" s="4" t="s">
        <v>27</v>
      </c>
      <c r="M483" s="4" t="s">
        <v>15</v>
      </c>
      <c r="N483" s="4" t="s">
        <v>623</v>
      </c>
      <c r="O483" s="4" t="s">
        <v>625</v>
      </c>
      <c r="P483" s="5">
        <v>0.18</v>
      </c>
      <c r="Q483" s="14">
        <f>PMT($V$33/12,$V$36,-$V$32)</f>
        <v>20314.741941687265</v>
      </c>
      <c r="R483" s="4">
        <v>700000</v>
      </c>
      <c r="S483" s="2" t="s">
        <v>17</v>
      </c>
    </row>
    <row r="484" spans="1:19" x14ac:dyDescent="0.3">
      <c r="A484" s="4">
        <v>483</v>
      </c>
      <c r="B484" s="4" t="s">
        <v>503</v>
      </c>
      <c r="C484" s="4" t="s">
        <v>11</v>
      </c>
      <c r="D484" s="4" t="s">
        <v>17</v>
      </c>
      <c r="E484" s="4" t="s">
        <v>13</v>
      </c>
      <c r="F484" s="4" t="s">
        <v>12</v>
      </c>
      <c r="G484" s="4">
        <v>55000</v>
      </c>
      <c r="H484" s="4">
        <v>25000</v>
      </c>
      <c r="I484" s="13">
        <v>1000000</v>
      </c>
      <c r="J484" s="4">
        <v>60</v>
      </c>
      <c r="K484" s="4">
        <v>0</v>
      </c>
      <c r="L484" s="4" t="s">
        <v>18</v>
      </c>
      <c r="M484" s="4" t="s">
        <v>19</v>
      </c>
      <c r="N484" s="4" t="s">
        <v>623</v>
      </c>
      <c r="O484" s="4" t="s">
        <v>625</v>
      </c>
      <c r="P484" s="5">
        <v>0.18</v>
      </c>
      <c r="Q484" s="14">
        <f t="shared" ref="Q484:Q485" si="46">PMT($V$3/12,$V$6,-$V$2)</f>
        <v>25393.427427109084</v>
      </c>
      <c r="R484" s="4">
        <v>640000</v>
      </c>
      <c r="S484" s="2" t="s">
        <v>12</v>
      </c>
    </row>
    <row r="485" spans="1:19" x14ac:dyDescent="0.3">
      <c r="A485" s="4">
        <v>484</v>
      </c>
      <c r="B485" s="4" t="s">
        <v>504</v>
      </c>
      <c r="C485" s="4" t="s">
        <v>38</v>
      </c>
      <c r="D485" s="4" t="s">
        <v>17</v>
      </c>
      <c r="E485" s="4" t="s">
        <v>13</v>
      </c>
      <c r="F485" s="4" t="s">
        <v>12</v>
      </c>
      <c r="G485" s="4">
        <v>45000</v>
      </c>
      <c r="H485" s="4">
        <v>40000</v>
      </c>
      <c r="I485" s="13">
        <v>1000000</v>
      </c>
      <c r="J485" s="4">
        <v>60</v>
      </c>
      <c r="K485" s="4">
        <v>1</v>
      </c>
      <c r="L485" s="4" t="s">
        <v>27</v>
      </c>
      <c r="M485" s="4" t="s">
        <v>15</v>
      </c>
      <c r="N485" s="4" t="s">
        <v>623</v>
      </c>
      <c r="O485" s="4" t="s">
        <v>625</v>
      </c>
      <c r="P485" s="5">
        <v>0.18</v>
      </c>
      <c r="Q485" s="14">
        <f t="shared" si="46"/>
        <v>25393.427427109084</v>
      </c>
      <c r="R485" s="4">
        <v>580000</v>
      </c>
      <c r="S485" s="2" t="s">
        <v>12</v>
      </c>
    </row>
    <row r="486" spans="1:19" x14ac:dyDescent="0.3">
      <c r="A486" s="4">
        <v>485</v>
      </c>
      <c r="B486" s="4" t="s">
        <v>505</v>
      </c>
      <c r="C486" s="4" t="s">
        <v>11</v>
      </c>
      <c r="D486" s="4" t="s">
        <v>17</v>
      </c>
      <c r="E486" s="4" t="s">
        <v>22</v>
      </c>
      <c r="F486" s="4" t="s">
        <v>12</v>
      </c>
      <c r="G486" s="4">
        <v>25000</v>
      </c>
      <c r="H486" s="4">
        <v>0</v>
      </c>
      <c r="I486" s="13">
        <v>500000</v>
      </c>
      <c r="J486" s="4">
        <v>60</v>
      </c>
      <c r="K486" s="4">
        <v>1</v>
      </c>
      <c r="L486" s="4" t="s">
        <v>18</v>
      </c>
      <c r="M486" s="4" t="s">
        <v>15</v>
      </c>
      <c r="N486" s="4" t="s">
        <v>623</v>
      </c>
      <c r="O486" s="4" t="s">
        <v>625</v>
      </c>
      <c r="P486" s="5">
        <v>0.18</v>
      </c>
      <c r="Q486" s="14">
        <f t="shared" ref="Q486:Q487" si="47">PMT($V$15/12,$V$18,-$V$14)</f>
        <v>12696.713713554542</v>
      </c>
      <c r="R486" s="4" t="s">
        <v>635</v>
      </c>
      <c r="S486" s="2" t="s">
        <v>17</v>
      </c>
    </row>
    <row r="487" spans="1:19" x14ac:dyDescent="0.3">
      <c r="A487" s="4">
        <v>486</v>
      </c>
      <c r="B487" s="4" t="s">
        <v>506</v>
      </c>
      <c r="C487" s="4" t="s">
        <v>11</v>
      </c>
      <c r="D487" s="4" t="s">
        <v>17</v>
      </c>
      <c r="E487" s="4" t="s">
        <v>13</v>
      </c>
      <c r="F487" s="4" t="s">
        <v>12</v>
      </c>
      <c r="G487" s="4">
        <v>50000</v>
      </c>
      <c r="H487" s="4">
        <v>0</v>
      </c>
      <c r="I487" s="13">
        <v>500000</v>
      </c>
      <c r="J487" s="4">
        <v>60</v>
      </c>
      <c r="K487" s="4">
        <v>0</v>
      </c>
      <c r="L487" s="4" t="s">
        <v>14</v>
      </c>
      <c r="M487" s="4" t="s">
        <v>15</v>
      </c>
      <c r="N487" s="4" t="s">
        <v>623</v>
      </c>
      <c r="O487" s="4" t="s">
        <v>625</v>
      </c>
      <c r="P487" s="5">
        <v>0.18</v>
      </c>
      <c r="Q487" s="14">
        <f t="shared" si="47"/>
        <v>12696.713713554542</v>
      </c>
      <c r="R487" s="4">
        <v>455000</v>
      </c>
      <c r="S487" s="2" t="s">
        <v>12</v>
      </c>
    </row>
    <row r="488" spans="1:19" x14ac:dyDescent="0.3">
      <c r="A488" s="4">
        <v>487</v>
      </c>
      <c r="B488" s="4" t="s">
        <v>507</v>
      </c>
      <c r="C488" s="4" t="s">
        <v>11</v>
      </c>
      <c r="D488" s="4" t="s">
        <v>17</v>
      </c>
      <c r="E488" s="4" t="s">
        <v>13</v>
      </c>
      <c r="F488" s="4" t="s">
        <v>17</v>
      </c>
      <c r="G488" s="4">
        <v>15000</v>
      </c>
      <c r="H488" s="4">
        <v>10000</v>
      </c>
      <c r="I488" s="13">
        <v>600000</v>
      </c>
      <c r="J488" s="4">
        <v>60</v>
      </c>
      <c r="K488" s="4">
        <v>1</v>
      </c>
      <c r="L488" s="4" t="s">
        <v>27</v>
      </c>
      <c r="M488" s="4" t="s">
        <v>15</v>
      </c>
      <c r="N488" s="4" t="s">
        <v>623</v>
      </c>
      <c r="O488" s="4" t="s">
        <v>625</v>
      </c>
      <c r="P488" s="5">
        <v>0.18</v>
      </c>
      <c r="Q488" s="14">
        <f>PMT($V$39/12,$V$42,-$V$38)</f>
        <v>15236.056456265451</v>
      </c>
      <c r="R488" s="4" t="s">
        <v>635</v>
      </c>
      <c r="S488" s="2" t="s">
        <v>12</v>
      </c>
    </row>
    <row r="489" spans="1:19" x14ac:dyDescent="0.3">
      <c r="A489" s="4">
        <v>488</v>
      </c>
      <c r="B489" s="4" t="s">
        <v>508</v>
      </c>
      <c r="C489" s="4" t="s">
        <v>11</v>
      </c>
      <c r="D489" s="4" t="s">
        <v>12</v>
      </c>
      <c r="E489" s="4" t="s">
        <v>13</v>
      </c>
      <c r="F489" s="4" t="s">
        <v>12</v>
      </c>
      <c r="G489" s="4">
        <v>150000</v>
      </c>
      <c r="H489" s="4">
        <v>0</v>
      </c>
      <c r="I489" s="13">
        <v>2000000</v>
      </c>
      <c r="J489" s="4">
        <v>60</v>
      </c>
      <c r="K489" s="4">
        <v>0</v>
      </c>
      <c r="L489" s="4" t="s">
        <v>18</v>
      </c>
      <c r="M489" s="4" t="s">
        <v>19</v>
      </c>
      <c r="N489" s="4" t="s">
        <v>623</v>
      </c>
      <c r="O489" s="4" t="s">
        <v>625</v>
      </c>
      <c r="P489" s="5">
        <v>0.18</v>
      </c>
      <c r="Q489" s="14">
        <f>PMT($V$27/12,$V$30,-$V$26)</f>
        <v>50786.854854218167</v>
      </c>
      <c r="R489" s="4">
        <v>862000</v>
      </c>
      <c r="S489" s="2" t="s">
        <v>12</v>
      </c>
    </row>
    <row r="490" spans="1:19" x14ac:dyDescent="0.3">
      <c r="A490" s="4">
        <v>489</v>
      </c>
      <c r="B490" s="4" t="s">
        <v>509</v>
      </c>
      <c r="C490" s="4" t="s">
        <v>38</v>
      </c>
      <c r="D490" s="4" t="s">
        <v>12</v>
      </c>
      <c r="E490" s="4" t="s">
        <v>13</v>
      </c>
      <c r="F490" s="4" t="s">
        <v>12</v>
      </c>
      <c r="G490" s="4">
        <v>50000</v>
      </c>
      <c r="H490" s="4">
        <v>0</v>
      </c>
      <c r="I490" s="13">
        <v>1000000</v>
      </c>
      <c r="J490" s="4">
        <v>60</v>
      </c>
      <c r="K490" s="4">
        <v>1</v>
      </c>
      <c r="L490" s="4" t="s">
        <v>18</v>
      </c>
      <c r="M490" s="4" t="s">
        <v>15</v>
      </c>
      <c r="N490" s="4" t="s">
        <v>623</v>
      </c>
      <c r="O490" s="4" t="s">
        <v>625</v>
      </c>
      <c r="P490" s="5">
        <v>0.18</v>
      </c>
      <c r="Q490" s="14">
        <f>PMT($V$3/12,$V$6,-$V$2)</f>
        <v>25393.427427109084</v>
      </c>
      <c r="R490" s="4">
        <v>520000</v>
      </c>
      <c r="S490" s="2" t="s">
        <v>12</v>
      </c>
    </row>
    <row r="491" spans="1:19" x14ac:dyDescent="0.3">
      <c r="A491" s="4">
        <v>490</v>
      </c>
      <c r="B491" s="4" t="s">
        <v>510</v>
      </c>
      <c r="C491" s="4" t="s">
        <v>38</v>
      </c>
      <c r="D491" s="4" t="s">
        <v>12</v>
      </c>
      <c r="E491" s="4" t="s">
        <v>13</v>
      </c>
      <c r="F491" s="4" t="s">
        <v>12</v>
      </c>
      <c r="G491" s="4">
        <v>100000</v>
      </c>
      <c r="H491" s="4">
        <v>35000</v>
      </c>
      <c r="I491" s="13">
        <v>1500000</v>
      </c>
      <c r="J491" s="4">
        <v>60</v>
      </c>
      <c r="K491" s="4">
        <v>1</v>
      </c>
      <c r="L491" s="4" t="s">
        <v>27</v>
      </c>
      <c r="M491" s="4" t="s">
        <v>15</v>
      </c>
      <c r="N491" s="4" t="s">
        <v>623</v>
      </c>
      <c r="O491" s="4" t="s">
        <v>625</v>
      </c>
      <c r="P491" s="5">
        <v>0.18</v>
      </c>
      <c r="Q491" s="14">
        <f t="shared" ref="Q491:Q492" si="48">PMT($V$9/12,$V$12,-$V$8)</f>
        <v>38090.141140663625</v>
      </c>
      <c r="R491" s="4">
        <v>867000</v>
      </c>
      <c r="S491" s="2" t="s">
        <v>17</v>
      </c>
    </row>
    <row r="492" spans="1:19" x14ac:dyDescent="0.3">
      <c r="A492" s="4">
        <v>491</v>
      </c>
      <c r="B492" s="4" t="s">
        <v>511</v>
      </c>
      <c r="C492" s="4" t="s">
        <v>11</v>
      </c>
      <c r="D492" s="4" t="s">
        <v>17</v>
      </c>
      <c r="E492" s="4" t="s">
        <v>13</v>
      </c>
      <c r="F492" s="4" t="s">
        <v>12</v>
      </c>
      <c r="G492" s="4">
        <v>80000</v>
      </c>
      <c r="H492" s="4">
        <v>0</v>
      </c>
      <c r="I492" s="13">
        <v>1500000</v>
      </c>
      <c r="J492" s="4">
        <v>60</v>
      </c>
      <c r="K492" s="4">
        <v>1</v>
      </c>
      <c r="L492" s="4" t="s">
        <v>27</v>
      </c>
      <c r="M492" s="4" t="s">
        <v>15</v>
      </c>
      <c r="N492" s="4" t="s">
        <v>623</v>
      </c>
      <c r="O492" s="4" t="s">
        <v>625</v>
      </c>
      <c r="P492" s="5">
        <v>0.18</v>
      </c>
      <c r="Q492" s="14">
        <f t="shared" si="48"/>
        <v>38090.141140663625</v>
      </c>
      <c r="R492" s="4">
        <v>560000</v>
      </c>
      <c r="S492" s="2" t="s">
        <v>12</v>
      </c>
    </row>
    <row r="493" spans="1:19" x14ac:dyDescent="0.3">
      <c r="A493" s="4">
        <v>492</v>
      </c>
      <c r="B493" s="4" t="s">
        <v>512</v>
      </c>
      <c r="C493" s="4" t="s">
        <v>11</v>
      </c>
      <c r="D493" s="4" t="s">
        <v>17</v>
      </c>
      <c r="E493" s="4" t="s">
        <v>22</v>
      </c>
      <c r="F493" s="4" t="s">
        <v>12</v>
      </c>
      <c r="G493" s="4">
        <v>50000</v>
      </c>
      <c r="H493" s="4">
        <v>0</v>
      </c>
      <c r="I493" s="13">
        <v>500000</v>
      </c>
      <c r="J493" s="4">
        <v>60</v>
      </c>
      <c r="K493" s="4">
        <v>0</v>
      </c>
      <c r="L493" s="4" t="s">
        <v>18</v>
      </c>
      <c r="M493" s="4" t="s">
        <v>19</v>
      </c>
      <c r="N493" s="4" t="s">
        <v>623</v>
      </c>
      <c r="O493" s="4" t="s">
        <v>625</v>
      </c>
      <c r="P493" s="5">
        <v>0.18</v>
      </c>
      <c r="Q493" s="14">
        <f>PMT($V$15/12,$V$18,-$V$14)</f>
        <v>12696.713713554542</v>
      </c>
      <c r="R493" s="4">
        <v>458000</v>
      </c>
      <c r="S493" s="2" t="s">
        <v>12</v>
      </c>
    </row>
    <row r="494" spans="1:19" x14ac:dyDescent="0.3">
      <c r="A494" s="4">
        <v>493</v>
      </c>
      <c r="B494" s="4" t="s">
        <v>513</v>
      </c>
      <c r="C494" s="4" t="s">
        <v>11</v>
      </c>
      <c r="D494" s="4" t="s">
        <v>17</v>
      </c>
      <c r="E494" s="4" t="s">
        <v>22</v>
      </c>
      <c r="F494" s="4" t="s">
        <v>12</v>
      </c>
      <c r="G494" s="4">
        <v>200000</v>
      </c>
      <c r="H494" s="4">
        <v>50000</v>
      </c>
      <c r="I494" s="13">
        <v>3000000</v>
      </c>
      <c r="J494" s="4">
        <v>60</v>
      </c>
      <c r="K494" s="4">
        <v>1</v>
      </c>
      <c r="L494" s="4" t="s">
        <v>27</v>
      </c>
      <c r="M494" s="4" t="s">
        <v>15</v>
      </c>
      <c r="N494" s="4" t="s">
        <v>623</v>
      </c>
      <c r="O494" s="4" t="s">
        <v>625</v>
      </c>
      <c r="P494" s="5">
        <v>0.18</v>
      </c>
      <c r="Q494" s="14">
        <f>PMT($Y$81/12,$Y$84,-$Y$80)</f>
        <v>76180.282281327251</v>
      </c>
      <c r="R494" s="4">
        <v>1500000</v>
      </c>
      <c r="S494" s="2" t="s">
        <v>17</v>
      </c>
    </row>
    <row r="495" spans="1:19" x14ac:dyDescent="0.3">
      <c r="A495" s="4">
        <v>494</v>
      </c>
      <c r="B495" s="4" t="s">
        <v>514</v>
      </c>
      <c r="C495" s="4" t="s">
        <v>11</v>
      </c>
      <c r="D495" s="4" t="s">
        <v>17</v>
      </c>
      <c r="E495" s="4" t="s">
        <v>13</v>
      </c>
      <c r="F495" s="4" t="s">
        <v>12</v>
      </c>
      <c r="G495" s="4">
        <v>75000</v>
      </c>
      <c r="H495" s="4">
        <v>25000</v>
      </c>
      <c r="I495" s="13">
        <v>1000000</v>
      </c>
      <c r="J495" s="4">
        <v>60</v>
      </c>
      <c r="K495" s="4">
        <v>1</v>
      </c>
      <c r="L495" s="4" t="s">
        <v>18</v>
      </c>
      <c r="M495" s="4" t="s">
        <v>15</v>
      </c>
      <c r="N495" s="4" t="s">
        <v>623</v>
      </c>
      <c r="O495" s="4" t="s">
        <v>625</v>
      </c>
      <c r="P495" s="5">
        <v>0.18</v>
      </c>
      <c r="Q495" s="14">
        <f>PMT($V$3/12,$V$6,-$V$2)</f>
        <v>25393.427427109084</v>
      </c>
      <c r="R495" s="4">
        <v>862000</v>
      </c>
      <c r="S495" s="2" t="s">
        <v>12</v>
      </c>
    </row>
    <row r="496" spans="1:19" x14ac:dyDescent="0.3">
      <c r="A496" s="4">
        <v>495</v>
      </c>
      <c r="B496" s="4" t="s">
        <v>515</v>
      </c>
      <c r="C496" s="4" t="s">
        <v>11</v>
      </c>
      <c r="D496" s="4" t="s">
        <v>17</v>
      </c>
      <c r="E496" s="4" t="s">
        <v>13</v>
      </c>
      <c r="F496" s="4" t="s">
        <v>12</v>
      </c>
      <c r="G496" s="4">
        <v>50000</v>
      </c>
      <c r="H496" s="4">
        <v>35000</v>
      </c>
      <c r="I496" s="13">
        <v>1500000</v>
      </c>
      <c r="J496" s="4">
        <v>60</v>
      </c>
      <c r="K496" s="4">
        <v>0</v>
      </c>
      <c r="L496" s="4" t="s">
        <v>14</v>
      </c>
      <c r="M496" s="4" t="s">
        <v>15</v>
      </c>
      <c r="N496" s="4" t="s">
        <v>623</v>
      </c>
      <c r="O496" s="4" t="s">
        <v>625</v>
      </c>
      <c r="P496" s="5">
        <v>0.18</v>
      </c>
      <c r="Q496" s="14">
        <f>PMT($V$9/12,$V$12,-$V$8)</f>
        <v>38090.141140663625</v>
      </c>
      <c r="R496" s="4">
        <v>765000</v>
      </c>
      <c r="S496" s="2" t="s">
        <v>12</v>
      </c>
    </row>
    <row r="497" spans="1:19" x14ac:dyDescent="0.3">
      <c r="A497" s="4">
        <v>496</v>
      </c>
      <c r="B497" s="4" t="s">
        <v>516</v>
      </c>
      <c r="C497" s="4" t="s">
        <v>11</v>
      </c>
      <c r="D497" s="4" t="s">
        <v>17</v>
      </c>
      <c r="E497" s="4" t="s">
        <v>13</v>
      </c>
      <c r="F497" s="4" t="s">
        <v>17</v>
      </c>
      <c r="G497" s="4">
        <v>85000</v>
      </c>
      <c r="H497" s="4">
        <v>0</v>
      </c>
      <c r="I497" s="13">
        <v>1000000</v>
      </c>
      <c r="J497" s="4">
        <v>60</v>
      </c>
      <c r="K497" s="4">
        <v>1</v>
      </c>
      <c r="L497" s="4" t="s">
        <v>14</v>
      </c>
      <c r="M497" s="4" t="s">
        <v>15</v>
      </c>
      <c r="N497" s="4" t="s">
        <v>623</v>
      </c>
      <c r="O497" s="4" t="s">
        <v>625</v>
      </c>
      <c r="P497" s="5">
        <v>0.18</v>
      </c>
      <c r="Q497" s="14">
        <f>PMT($V$3/12,$V$6,-$V$2)</f>
        <v>25393.427427109084</v>
      </c>
      <c r="R497" s="4">
        <v>740000</v>
      </c>
      <c r="S497" s="2" t="s">
        <v>17</v>
      </c>
    </row>
    <row r="498" spans="1:19" x14ac:dyDescent="0.3">
      <c r="A498" s="4">
        <v>497</v>
      </c>
      <c r="B498" s="4" t="s">
        <v>517</v>
      </c>
      <c r="C498" s="4" t="s">
        <v>38</v>
      </c>
      <c r="D498" s="4" t="s">
        <v>12</v>
      </c>
      <c r="E498" s="4" t="s">
        <v>13</v>
      </c>
      <c r="F498" s="4" t="s">
        <v>12</v>
      </c>
      <c r="G498" s="4">
        <v>50000</v>
      </c>
      <c r="H498" s="4">
        <v>30000</v>
      </c>
      <c r="I498" s="13">
        <v>2000000</v>
      </c>
      <c r="J498" s="4">
        <v>60</v>
      </c>
      <c r="K498" s="4">
        <v>1</v>
      </c>
      <c r="L498" s="4" t="s">
        <v>14</v>
      </c>
      <c r="M498" s="4" t="s">
        <v>15</v>
      </c>
      <c r="N498" s="4" t="s">
        <v>623</v>
      </c>
      <c r="O498" s="4" t="s">
        <v>625</v>
      </c>
      <c r="P498" s="5">
        <v>0.18</v>
      </c>
      <c r="Q498" s="14">
        <f>PMT($V$27/12,$V$30,-$V$26)</f>
        <v>50786.854854218167</v>
      </c>
      <c r="R498" s="4">
        <v>700000</v>
      </c>
      <c r="S498" s="2" t="s">
        <v>12</v>
      </c>
    </row>
    <row r="499" spans="1:19" x14ac:dyDescent="0.3">
      <c r="A499" s="4">
        <v>498</v>
      </c>
      <c r="B499" s="4" t="s">
        <v>518</v>
      </c>
      <c r="C499" s="4" t="s">
        <v>11</v>
      </c>
      <c r="D499" s="4" t="s">
        <v>12</v>
      </c>
      <c r="E499" s="4" t="s">
        <v>22</v>
      </c>
      <c r="F499" s="4" t="s">
        <v>12</v>
      </c>
      <c r="G499" s="4">
        <v>65000</v>
      </c>
      <c r="H499" s="4">
        <v>20000</v>
      </c>
      <c r="I499" s="13">
        <v>800000</v>
      </c>
      <c r="J499" s="4">
        <v>60</v>
      </c>
      <c r="K499" s="4">
        <v>1</v>
      </c>
      <c r="L499" s="4" t="s">
        <v>18</v>
      </c>
      <c r="M499" s="4" t="s">
        <v>19</v>
      </c>
      <c r="N499" s="4" t="s">
        <v>623</v>
      </c>
      <c r="O499" s="4" t="s">
        <v>625</v>
      </c>
      <c r="P499" s="5">
        <v>0.18</v>
      </c>
      <c r="Q499" s="14">
        <f>PMT($V$33/12,$V$36,-$V$32)</f>
        <v>20314.741941687265</v>
      </c>
      <c r="R499" s="4">
        <v>840000</v>
      </c>
      <c r="S499" s="2" t="s">
        <v>12</v>
      </c>
    </row>
    <row r="500" spans="1:19" x14ac:dyDescent="0.3">
      <c r="A500" s="4">
        <v>499</v>
      </c>
      <c r="B500" s="4" t="s">
        <v>519</v>
      </c>
      <c r="C500" s="4" t="s">
        <v>11</v>
      </c>
      <c r="D500" s="4" t="s">
        <v>17</v>
      </c>
      <c r="E500" s="4" t="s">
        <v>13</v>
      </c>
      <c r="F500" s="4" t="s">
        <v>12</v>
      </c>
      <c r="G500" s="4">
        <v>55000</v>
      </c>
      <c r="H500" s="4">
        <v>25000</v>
      </c>
      <c r="I500" s="13">
        <v>1000000</v>
      </c>
      <c r="J500" s="4">
        <v>60</v>
      </c>
      <c r="K500" s="4">
        <v>1</v>
      </c>
      <c r="L500" s="4" t="s">
        <v>27</v>
      </c>
      <c r="M500" s="4" t="s">
        <v>15</v>
      </c>
      <c r="N500" s="4" t="s">
        <v>623</v>
      </c>
      <c r="O500" s="4" t="s">
        <v>625</v>
      </c>
      <c r="P500" s="5">
        <v>0.18</v>
      </c>
      <c r="Q500" s="14">
        <f>PMT($V$3/12,$V$6,-$V$2)</f>
        <v>25393.427427109084</v>
      </c>
      <c r="R500" s="4">
        <v>630000</v>
      </c>
      <c r="S500" s="2" t="s">
        <v>17</v>
      </c>
    </row>
    <row r="501" spans="1:19" x14ac:dyDescent="0.3">
      <c r="A501" s="4">
        <v>500</v>
      </c>
      <c r="B501" s="4" t="s">
        <v>520</v>
      </c>
      <c r="C501" s="4" t="s">
        <v>11</v>
      </c>
      <c r="D501" s="4" t="s">
        <v>17</v>
      </c>
      <c r="E501" s="4" t="s">
        <v>13</v>
      </c>
      <c r="F501" s="4" t="s">
        <v>12</v>
      </c>
      <c r="G501" s="4">
        <v>48550</v>
      </c>
      <c r="H501" s="4">
        <v>54800</v>
      </c>
      <c r="I501" s="13">
        <v>748890</v>
      </c>
      <c r="J501" s="4">
        <v>60</v>
      </c>
      <c r="K501" s="4">
        <v>1</v>
      </c>
      <c r="L501" s="4" t="s">
        <v>14</v>
      </c>
      <c r="M501" s="4" t="s">
        <v>15</v>
      </c>
      <c r="N501" s="4" t="s">
        <v>623</v>
      </c>
      <c r="O501" s="4" t="s">
        <v>625</v>
      </c>
      <c r="P501" s="5">
        <v>0.18</v>
      </c>
      <c r="Q501" s="14">
        <f>PMT($Y$63/12,$Y$66,-$Y$62)</f>
        <v>19016.883865887721</v>
      </c>
      <c r="R501" s="4">
        <v>530000</v>
      </c>
      <c r="S501" s="2" t="s">
        <v>17</v>
      </c>
    </row>
    <row r="502" spans="1:19" x14ac:dyDescent="0.3">
      <c r="A502" s="4">
        <v>501</v>
      </c>
      <c r="B502" s="4" t="s">
        <v>521</v>
      </c>
      <c r="C502" s="4" t="s">
        <v>11</v>
      </c>
      <c r="D502" s="4" t="s">
        <v>17</v>
      </c>
      <c r="E502" s="4" t="s">
        <v>13</v>
      </c>
      <c r="F502" s="4" t="s">
        <v>12</v>
      </c>
      <c r="G502" s="4">
        <v>150000</v>
      </c>
      <c r="H502" s="4">
        <v>0</v>
      </c>
      <c r="I502" s="13">
        <v>1500000</v>
      </c>
      <c r="J502" s="4">
        <v>60</v>
      </c>
      <c r="K502" s="4">
        <v>1</v>
      </c>
      <c r="L502" s="4" t="s">
        <v>27</v>
      </c>
      <c r="M502" s="4" t="s">
        <v>19</v>
      </c>
      <c r="N502" s="4" t="s">
        <v>623</v>
      </c>
      <c r="O502" s="4" t="s">
        <v>625</v>
      </c>
      <c r="P502" s="5">
        <v>0.18</v>
      </c>
      <c r="Q502" s="14">
        <f>PMT($V$9/12,$V$12,-$V$8)</f>
        <v>38090.141140663625</v>
      </c>
      <c r="R502" s="4">
        <v>800000</v>
      </c>
      <c r="S502" s="2" t="s">
        <v>12</v>
      </c>
    </row>
    <row r="503" spans="1:19" x14ac:dyDescent="0.3">
      <c r="A503" s="4">
        <v>502</v>
      </c>
      <c r="B503" s="4" t="s">
        <v>522</v>
      </c>
      <c r="C503" s="4" t="s">
        <v>11</v>
      </c>
      <c r="D503" s="4" t="s">
        <v>12</v>
      </c>
      <c r="E503" s="4" t="s">
        <v>13</v>
      </c>
      <c r="F503" s="4" t="s">
        <v>12</v>
      </c>
      <c r="G503" s="4">
        <v>50000</v>
      </c>
      <c r="H503" s="4">
        <v>0</v>
      </c>
      <c r="I503" s="13">
        <v>1000000</v>
      </c>
      <c r="J503" s="4">
        <v>60</v>
      </c>
      <c r="K503" s="4">
        <v>1</v>
      </c>
      <c r="L503" s="4" t="s">
        <v>18</v>
      </c>
      <c r="M503" s="4" t="s">
        <v>19</v>
      </c>
      <c r="N503" s="4" t="s">
        <v>623</v>
      </c>
      <c r="O503" s="4" t="s">
        <v>625</v>
      </c>
      <c r="P503" s="5">
        <v>0.18</v>
      </c>
      <c r="Q503" s="14">
        <f>PMT($V$3/12,$V$6,-$V$2)</f>
        <v>25393.427427109084</v>
      </c>
      <c r="R503" s="4">
        <v>453000</v>
      </c>
      <c r="S503" s="2" t="s">
        <v>12</v>
      </c>
    </row>
    <row r="504" spans="1:19" x14ac:dyDescent="0.3">
      <c r="A504" s="4">
        <v>503</v>
      </c>
      <c r="B504" s="4" t="s">
        <v>523</v>
      </c>
      <c r="C504" s="4" t="s">
        <v>11</v>
      </c>
      <c r="D504" s="4" t="s">
        <v>17</v>
      </c>
      <c r="E504" s="4" t="s">
        <v>13</v>
      </c>
      <c r="F504" s="4" t="s">
        <v>12</v>
      </c>
      <c r="G504" s="4">
        <v>100000</v>
      </c>
      <c r="H504" s="4">
        <v>35000</v>
      </c>
      <c r="I504" s="13">
        <v>1500000</v>
      </c>
      <c r="J504" s="4">
        <v>60</v>
      </c>
      <c r="K504" s="4">
        <v>1</v>
      </c>
      <c r="L504" s="4" t="s">
        <v>18</v>
      </c>
      <c r="M504" s="4" t="s">
        <v>15</v>
      </c>
      <c r="N504" s="4" t="s">
        <v>623</v>
      </c>
      <c r="O504" s="4" t="s">
        <v>625</v>
      </c>
      <c r="P504" s="5">
        <v>0.18</v>
      </c>
      <c r="Q504" s="14">
        <f t="shared" ref="Q504:Q505" si="49">PMT($V$9/12,$V$12,-$V$8)</f>
        <v>38090.141140663625</v>
      </c>
      <c r="R504" s="4">
        <v>1000000</v>
      </c>
      <c r="S504" s="2" t="s">
        <v>12</v>
      </c>
    </row>
    <row r="505" spans="1:19" x14ac:dyDescent="0.3">
      <c r="A505" s="4">
        <v>504</v>
      </c>
      <c r="B505" s="4" t="s">
        <v>524</v>
      </c>
      <c r="C505" s="4" t="s">
        <v>38</v>
      </c>
      <c r="D505" s="4" t="s">
        <v>17</v>
      </c>
      <c r="E505" s="4" t="s">
        <v>13</v>
      </c>
      <c r="F505" s="4" t="s">
        <v>12</v>
      </c>
      <c r="G505" s="4">
        <v>80000</v>
      </c>
      <c r="H505" s="4">
        <v>0</v>
      </c>
      <c r="I505" s="13">
        <v>1500000</v>
      </c>
      <c r="J505" s="4">
        <v>60</v>
      </c>
      <c r="K505" s="4">
        <v>1</v>
      </c>
      <c r="L505" s="4" t="s">
        <v>27</v>
      </c>
      <c r="M505" s="4" t="s">
        <v>15</v>
      </c>
      <c r="N505" s="4" t="s">
        <v>623</v>
      </c>
      <c r="O505" s="4" t="s">
        <v>625</v>
      </c>
      <c r="P505" s="5">
        <v>0.18</v>
      </c>
      <c r="Q505" s="14">
        <f t="shared" si="49"/>
        <v>38090.141140663625</v>
      </c>
      <c r="R505" s="4">
        <v>600000</v>
      </c>
      <c r="S505" s="2" t="s">
        <v>12</v>
      </c>
    </row>
    <row r="506" spans="1:19" x14ac:dyDescent="0.3">
      <c r="A506" s="4">
        <v>505</v>
      </c>
      <c r="B506" s="4" t="s">
        <v>525</v>
      </c>
      <c r="C506" s="4" t="s">
        <v>11</v>
      </c>
      <c r="D506" s="4" t="s">
        <v>17</v>
      </c>
      <c r="E506" s="4" t="s">
        <v>22</v>
      </c>
      <c r="F506" s="4" t="s">
        <v>12</v>
      </c>
      <c r="G506" s="4">
        <v>50000</v>
      </c>
      <c r="H506" s="4">
        <v>0</v>
      </c>
      <c r="I506" s="13">
        <v>500000</v>
      </c>
      <c r="J506" s="4">
        <v>60</v>
      </c>
      <c r="K506" s="4">
        <v>0</v>
      </c>
      <c r="L506" s="4" t="s">
        <v>27</v>
      </c>
      <c r="M506" s="4" t="s">
        <v>19</v>
      </c>
      <c r="N506" s="4" t="s">
        <v>623</v>
      </c>
      <c r="O506" s="4" t="s">
        <v>625</v>
      </c>
      <c r="P506" s="5">
        <v>0.18</v>
      </c>
      <c r="Q506" s="14">
        <f>PMT($V$15/12,$V$18,-$V$14)</f>
        <v>12696.713713554542</v>
      </c>
      <c r="R506" s="4">
        <v>456000</v>
      </c>
      <c r="S506" s="2" t="s">
        <v>12</v>
      </c>
    </row>
    <row r="507" spans="1:19" x14ac:dyDescent="0.3">
      <c r="A507" s="4">
        <v>506</v>
      </c>
      <c r="B507" s="4" t="s">
        <v>526</v>
      </c>
      <c r="C507" s="4" t="s">
        <v>11</v>
      </c>
      <c r="D507" s="4" t="s">
        <v>12</v>
      </c>
      <c r="E507" s="4" t="s">
        <v>13</v>
      </c>
      <c r="F507" s="4" t="s">
        <v>12</v>
      </c>
      <c r="G507" s="4">
        <v>200000</v>
      </c>
      <c r="H507" s="4">
        <v>50000</v>
      </c>
      <c r="I507" s="13">
        <v>3000000</v>
      </c>
      <c r="J507" s="4">
        <v>60</v>
      </c>
      <c r="K507" s="4">
        <v>1</v>
      </c>
      <c r="L507" s="4" t="s">
        <v>27</v>
      </c>
      <c r="M507" s="4" t="s">
        <v>19</v>
      </c>
      <c r="N507" s="4" t="s">
        <v>623</v>
      </c>
      <c r="O507" s="4" t="s">
        <v>625</v>
      </c>
      <c r="P507" s="5">
        <v>0.18</v>
      </c>
      <c r="Q507" s="14">
        <f>PMT($Y$81/12,$Y$84,-$Y$80)</f>
        <v>76180.282281327251</v>
      </c>
      <c r="R507" s="4">
        <v>1500000</v>
      </c>
      <c r="S507" s="2" t="s">
        <v>17</v>
      </c>
    </row>
    <row r="508" spans="1:19" x14ac:dyDescent="0.3">
      <c r="A508" s="4">
        <v>507</v>
      </c>
      <c r="B508" s="4" t="s">
        <v>527</v>
      </c>
      <c r="C508" s="4" t="s">
        <v>38</v>
      </c>
      <c r="D508" s="4" t="s">
        <v>12</v>
      </c>
      <c r="E508" s="4" t="s">
        <v>22</v>
      </c>
      <c r="F508" s="4" t="s">
        <v>12</v>
      </c>
      <c r="G508" s="4">
        <v>75000</v>
      </c>
      <c r="H508" s="4">
        <v>25000</v>
      </c>
      <c r="I508" s="13">
        <v>1000000</v>
      </c>
      <c r="J508" s="4">
        <v>60</v>
      </c>
      <c r="K508" s="4">
        <v>1</v>
      </c>
      <c r="L508" s="4" t="s">
        <v>18</v>
      </c>
      <c r="M508" s="4" t="s">
        <v>19</v>
      </c>
      <c r="N508" s="4" t="s">
        <v>623</v>
      </c>
      <c r="O508" s="4" t="s">
        <v>625</v>
      </c>
      <c r="P508" s="5">
        <v>0.18</v>
      </c>
      <c r="Q508" s="14">
        <f>PMT($V$3/12,$V$6,-$V$2)</f>
        <v>25393.427427109084</v>
      </c>
      <c r="R508" s="4">
        <v>457000</v>
      </c>
      <c r="S508" s="2" t="s">
        <v>12</v>
      </c>
    </row>
    <row r="509" spans="1:19" x14ac:dyDescent="0.3">
      <c r="A509" s="4">
        <v>508</v>
      </c>
      <c r="B509" s="4" t="s">
        <v>528</v>
      </c>
      <c r="C509" s="4" t="s">
        <v>11</v>
      </c>
      <c r="D509" s="4" t="s">
        <v>17</v>
      </c>
      <c r="E509" s="4" t="s">
        <v>22</v>
      </c>
      <c r="F509" s="4" t="s">
        <v>12</v>
      </c>
      <c r="G509" s="4">
        <v>50000</v>
      </c>
      <c r="H509" s="4">
        <v>35000</v>
      </c>
      <c r="I509" s="13">
        <v>1500000</v>
      </c>
      <c r="J509" s="4">
        <v>60</v>
      </c>
      <c r="K509" s="4">
        <v>1</v>
      </c>
      <c r="L509" s="4" t="s">
        <v>27</v>
      </c>
      <c r="M509" s="4" t="s">
        <v>15</v>
      </c>
      <c r="N509" s="4" t="s">
        <v>623</v>
      </c>
      <c r="O509" s="4" t="s">
        <v>625</v>
      </c>
      <c r="P509" s="5">
        <v>0.18</v>
      </c>
      <c r="Q509" s="14">
        <f>PMT($V$9/12,$V$12,-$V$8)</f>
        <v>38090.141140663625</v>
      </c>
      <c r="R509" s="4">
        <v>545000</v>
      </c>
      <c r="S509" s="2" t="s">
        <v>17</v>
      </c>
    </row>
    <row r="510" spans="1:19" x14ac:dyDescent="0.3">
      <c r="A510" s="4">
        <v>509</v>
      </c>
      <c r="B510" s="4" t="s">
        <v>529</v>
      </c>
      <c r="C510" s="4" t="s">
        <v>11</v>
      </c>
      <c r="D510" s="4" t="s">
        <v>12</v>
      </c>
      <c r="E510" s="4" t="s">
        <v>13</v>
      </c>
      <c r="F510" s="4" t="s">
        <v>12</v>
      </c>
      <c r="G510" s="4">
        <v>85000</v>
      </c>
      <c r="H510" s="4">
        <v>0</v>
      </c>
      <c r="I510" s="13">
        <v>1000000</v>
      </c>
      <c r="J510" s="4">
        <v>60</v>
      </c>
      <c r="K510" s="4">
        <v>1</v>
      </c>
      <c r="L510" s="4" t="s">
        <v>27</v>
      </c>
      <c r="M510" s="4" t="s">
        <v>15</v>
      </c>
      <c r="N510" s="4" t="s">
        <v>623</v>
      </c>
      <c r="O510" s="4" t="s">
        <v>625</v>
      </c>
      <c r="P510" s="5">
        <v>0.18</v>
      </c>
      <c r="Q510" s="14">
        <f>PMT($V$3/12,$V$6,-$V$2)</f>
        <v>25393.427427109084</v>
      </c>
      <c r="R510" s="4">
        <v>750000</v>
      </c>
      <c r="S510" s="2" t="s">
        <v>17</v>
      </c>
    </row>
    <row r="511" spans="1:19" x14ac:dyDescent="0.3">
      <c r="A511" s="4">
        <v>510</v>
      </c>
      <c r="B511" s="4" t="s">
        <v>530</v>
      </c>
      <c r="C511" s="4" t="s">
        <v>11</v>
      </c>
      <c r="D511" s="4" t="s">
        <v>17</v>
      </c>
      <c r="E511" s="4" t="s">
        <v>13</v>
      </c>
      <c r="F511" s="4" t="s">
        <v>17</v>
      </c>
      <c r="G511" s="4">
        <v>50000</v>
      </c>
      <c r="H511" s="4">
        <v>30000</v>
      </c>
      <c r="I511" s="13">
        <v>2000000</v>
      </c>
      <c r="J511" s="4">
        <v>60</v>
      </c>
      <c r="K511" s="4">
        <v>1</v>
      </c>
      <c r="L511" s="4" t="s">
        <v>18</v>
      </c>
      <c r="M511" s="4" t="s">
        <v>15</v>
      </c>
      <c r="N511" s="4" t="s">
        <v>623</v>
      </c>
      <c r="O511" s="4" t="s">
        <v>625</v>
      </c>
      <c r="P511" s="5">
        <v>0.18</v>
      </c>
      <c r="Q511" s="14">
        <f>PMT($V$27/12,$V$30,-$V$26)</f>
        <v>50786.854854218167</v>
      </c>
      <c r="R511" s="4">
        <v>585000</v>
      </c>
      <c r="S511" s="2" t="s">
        <v>12</v>
      </c>
    </row>
    <row r="512" spans="1:19" x14ac:dyDescent="0.3">
      <c r="A512" s="4">
        <v>511</v>
      </c>
      <c r="B512" s="4" t="s">
        <v>531</v>
      </c>
      <c r="C512" s="4" t="s">
        <v>11</v>
      </c>
      <c r="D512" s="4" t="s">
        <v>17</v>
      </c>
      <c r="E512" s="4" t="s">
        <v>13</v>
      </c>
      <c r="F512" s="4" t="s">
        <v>17</v>
      </c>
      <c r="G512" s="4">
        <v>65000</v>
      </c>
      <c r="H512" s="4">
        <v>20000</v>
      </c>
      <c r="I512" s="13">
        <v>800000</v>
      </c>
      <c r="J512" s="4">
        <v>60</v>
      </c>
      <c r="K512" s="4">
        <v>1</v>
      </c>
      <c r="L512" s="4" t="s">
        <v>18</v>
      </c>
      <c r="M512" s="4" t="s">
        <v>15</v>
      </c>
      <c r="N512" s="4" t="s">
        <v>623</v>
      </c>
      <c r="O512" s="4" t="s">
        <v>625</v>
      </c>
      <c r="P512" s="5">
        <v>0.18</v>
      </c>
      <c r="Q512" s="14">
        <f>PMT($V$33/12,$V$36,-$V$32)</f>
        <v>20314.741941687265</v>
      </c>
      <c r="R512" s="4">
        <v>700000</v>
      </c>
      <c r="S512" s="2" t="s">
        <v>12</v>
      </c>
    </row>
    <row r="513" spans="1:19" x14ac:dyDescent="0.3">
      <c r="A513" s="4">
        <v>512</v>
      </c>
      <c r="B513" s="4" t="s">
        <v>532</v>
      </c>
      <c r="C513" s="4" t="s">
        <v>11</v>
      </c>
      <c r="D513" s="4" t="s">
        <v>12</v>
      </c>
      <c r="E513" s="4" t="s">
        <v>13</v>
      </c>
      <c r="F513" s="4" t="s">
        <v>12</v>
      </c>
      <c r="G513" s="4">
        <v>55000</v>
      </c>
      <c r="H513" s="4">
        <v>25000</v>
      </c>
      <c r="I513" s="13">
        <v>1000000</v>
      </c>
      <c r="J513" s="4">
        <v>60</v>
      </c>
      <c r="K513" s="4">
        <v>1</v>
      </c>
      <c r="L513" s="4" t="s">
        <v>27</v>
      </c>
      <c r="M513" s="4" t="s">
        <v>19</v>
      </c>
      <c r="N513" s="4" t="s">
        <v>623</v>
      </c>
      <c r="O513" s="4" t="s">
        <v>625</v>
      </c>
      <c r="P513" s="5">
        <v>0.18</v>
      </c>
      <c r="Q513" s="14">
        <f t="shared" ref="Q513:Q514" si="50">PMT($V$3/12,$V$6,-$V$2)</f>
        <v>25393.427427109084</v>
      </c>
      <c r="R513" s="4">
        <v>555000</v>
      </c>
      <c r="S513" s="2" t="s">
        <v>12</v>
      </c>
    </row>
    <row r="514" spans="1:19" x14ac:dyDescent="0.3">
      <c r="A514" s="4">
        <v>513</v>
      </c>
      <c r="B514" s="4" t="s">
        <v>533</v>
      </c>
      <c r="C514" s="4" t="s">
        <v>11</v>
      </c>
      <c r="D514" s="4" t="s">
        <v>17</v>
      </c>
      <c r="E514" s="4" t="s">
        <v>13</v>
      </c>
      <c r="F514" s="4" t="s">
        <v>17</v>
      </c>
      <c r="G514" s="4">
        <v>50000</v>
      </c>
      <c r="H514" s="4">
        <v>0</v>
      </c>
      <c r="I514" s="13">
        <v>1000000</v>
      </c>
      <c r="J514" s="4">
        <v>60</v>
      </c>
      <c r="K514" s="4">
        <v>1</v>
      </c>
      <c r="L514" s="4" t="s">
        <v>18</v>
      </c>
      <c r="M514" s="4" t="s">
        <v>15</v>
      </c>
      <c r="N514" s="4" t="s">
        <v>623</v>
      </c>
      <c r="O514" s="4" t="s">
        <v>625</v>
      </c>
      <c r="P514" s="5">
        <v>0.18</v>
      </c>
      <c r="Q514" s="14">
        <f t="shared" si="50"/>
        <v>25393.427427109084</v>
      </c>
      <c r="R514" s="4">
        <v>455000</v>
      </c>
      <c r="S514" s="2" t="s">
        <v>17</v>
      </c>
    </row>
    <row r="515" spans="1:19" x14ac:dyDescent="0.3">
      <c r="A515" s="4">
        <v>514</v>
      </c>
      <c r="B515" s="4" t="s">
        <v>534</v>
      </c>
      <c r="C515" s="4" t="s">
        <v>11</v>
      </c>
      <c r="D515" s="4" t="s">
        <v>17</v>
      </c>
      <c r="E515" s="4" t="s">
        <v>13</v>
      </c>
      <c r="F515" s="4" t="s">
        <v>12</v>
      </c>
      <c r="G515" s="4">
        <v>100000</v>
      </c>
      <c r="H515" s="4">
        <v>35000</v>
      </c>
      <c r="I515" s="13">
        <v>1500000</v>
      </c>
      <c r="J515" s="4">
        <v>60</v>
      </c>
      <c r="K515" s="4">
        <v>1</v>
      </c>
      <c r="L515" s="4" t="s">
        <v>27</v>
      </c>
      <c r="M515" s="4" t="s">
        <v>15</v>
      </c>
      <c r="N515" s="4" t="s">
        <v>623</v>
      </c>
      <c r="O515" s="4" t="s">
        <v>625</v>
      </c>
      <c r="P515" s="5">
        <v>0.18</v>
      </c>
      <c r="Q515" s="14">
        <f t="shared" ref="Q515:Q516" si="51">PMT($V$9/12,$V$12,-$V$8)</f>
        <v>38090.141140663625</v>
      </c>
      <c r="R515" s="4">
        <v>910000</v>
      </c>
      <c r="S515" s="2" t="s">
        <v>12</v>
      </c>
    </row>
    <row r="516" spans="1:19" x14ac:dyDescent="0.3">
      <c r="A516" s="4">
        <v>515</v>
      </c>
      <c r="B516" s="4" t="s">
        <v>535</v>
      </c>
      <c r="C516" s="4" t="s">
        <v>11</v>
      </c>
      <c r="D516" s="4" t="s">
        <v>17</v>
      </c>
      <c r="E516" s="4" t="s">
        <v>22</v>
      </c>
      <c r="F516" s="4" t="s">
        <v>12</v>
      </c>
      <c r="G516" s="4">
        <v>80000</v>
      </c>
      <c r="H516" s="4">
        <v>0</v>
      </c>
      <c r="I516" s="13">
        <v>1500000</v>
      </c>
      <c r="J516" s="4">
        <v>60</v>
      </c>
      <c r="K516" s="4">
        <v>0</v>
      </c>
      <c r="L516" s="4" t="s">
        <v>27</v>
      </c>
      <c r="M516" s="4" t="s">
        <v>15</v>
      </c>
      <c r="N516" s="4" t="s">
        <v>623</v>
      </c>
      <c r="O516" s="4" t="s">
        <v>625</v>
      </c>
      <c r="P516" s="5">
        <v>0.18</v>
      </c>
      <c r="Q516" s="14">
        <f t="shared" si="51"/>
        <v>38090.141140663625</v>
      </c>
      <c r="R516" s="4">
        <v>610000</v>
      </c>
      <c r="S516" s="2" t="s">
        <v>12</v>
      </c>
    </row>
    <row r="517" spans="1:19" x14ac:dyDescent="0.3">
      <c r="A517" s="4">
        <v>516</v>
      </c>
      <c r="B517" s="4" t="s">
        <v>536</v>
      </c>
      <c r="C517" s="4" t="s">
        <v>11</v>
      </c>
      <c r="D517" s="4" t="s">
        <v>12</v>
      </c>
      <c r="E517" s="4" t="s">
        <v>22</v>
      </c>
      <c r="F517" s="4" t="s">
        <v>12</v>
      </c>
      <c r="G517" s="4">
        <v>25000</v>
      </c>
      <c r="H517" s="4">
        <v>10000</v>
      </c>
      <c r="I517" s="13">
        <v>500000</v>
      </c>
      <c r="J517" s="4">
        <v>60</v>
      </c>
      <c r="K517" s="4">
        <v>1</v>
      </c>
      <c r="L517" s="4" t="s">
        <v>27</v>
      </c>
      <c r="M517" s="4" t="s">
        <v>15</v>
      </c>
      <c r="N517" s="4" t="s">
        <v>623</v>
      </c>
      <c r="O517" s="4" t="s">
        <v>625</v>
      </c>
      <c r="P517" s="5">
        <v>0.18</v>
      </c>
      <c r="Q517" s="14">
        <f>PMT($V$15/12,$V$18,-$V$14)</f>
        <v>12696.713713554542</v>
      </c>
      <c r="R517" s="4">
        <v>200000</v>
      </c>
      <c r="S517" s="2" t="s">
        <v>17</v>
      </c>
    </row>
    <row r="518" spans="1:19" x14ac:dyDescent="0.3">
      <c r="A518" s="4">
        <v>517</v>
      </c>
      <c r="B518" s="4" t="s">
        <v>537</v>
      </c>
      <c r="C518" s="4" t="s">
        <v>11</v>
      </c>
      <c r="D518" s="4" t="s">
        <v>12</v>
      </c>
      <c r="E518" s="4" t="s">
        <v>22</v>
      </c>
      <c r="F518" s="4" t="s">
        <v>12</v>
      </c>
      <c r="G518" s="4">
        <v>53000</v>
      </c>
      <c r="H518" s="4">
        <v>0</v>
      </c>
      <c r="I518" s="13">
        <v>620000</v>
      </c>
      <c r="J518" s="4">
        <v>60</v>
      </c>
      <c r="K518" s="4">
        <v>1</v>
      </c>
      <c r="L518" s="4" t="s">
        <v>27</v>
      </c>
      <c r="M518" s="4" t="s">
        <v>15</v>
      </c>
      <c r="N518" s="4" t="s">
        <v>623</v>
      </c>
      <c r="O518" s="4" t="s">
        <v>625</v>
      </c>
      <c r="P518" s="5">
        <v>0.18</v>
      </c>
      <c r="Q518" s="14">
        <f>PMT($AB$15/12,$AB$18,-$AB$14)</f>
        <v>15743.925004807632</v>
      </c>
      <c r="R518" s="4">
        <v>550000</v>
      </c>
      <c r="S518" s="2" t="s">
        <v>12</v>
      </c>
    </row>
    <row r="519" spans="1:19" x14ac:dyDescent="0.3">
      <c r="A519" s="4">
        <v>518</v>
      </c>
      <c r="B519" s="4" t="s">
        <v>538</v>
      </c>
      <c r="C519" s="4" t="s">
        <v>11</v>
      </c>
      <c r="D519" s="4" t="s">
        <v>17</v>
      </c>
      <c r="E519" s="4" t="s">
        <v>13</v>
      </c>
      <c r="F519" s="4" t="s">
        <v>12</v>
      </c>
      <c r="G519" s="4">
        <v>84200</v>
      </c>
      <c r="H519" s="4">
        <v>77000</v>
      </c>
      <c r="I519" s="13">
        <v>952000</v>
      </c>
      <c r="J519" s="4">
        <v>60</v>
      </c>
      <c r="K519" s="4">
        <v>0</v>
      </c>
      <c r="L519" s="4" t="s">
        <v>18</v>
      </c>
      <c r="M519" s="4" t="s">
        <v>15</v>
      </c>
      <c r="N519" s="4" t="s">
        <v>623</v>
      </c>
      <c r="O519" s="4" t="s">
        <v>625</v>
      </c>
      <c r="P519" s="5">
        <v>0.18</v>
      </c>
      <c r="Q519" s="14">
        <f>PMT($AB$21/12,$AB$24,-$AB$20)</f>
        <v>24174.542910607848</v>
      </c>
      <c r="R519" s="4">
        <v>865000</v>
      </c>
      <c r="S519" s="2" t="s">
        <v>12</v>
      </c>
    </row>
    <row r="520" spans="1:19" x14ac:dyDescent="0.3">
      <c r="A520" s="4">
        <v>519</v>
      </c>
      <c r="B520" s="4" t="s">
        <v>539</v>
      </c>
      <c r="C520" s="4" t="s">
        <v>11</v>
      </c>
      <c r="D520" s="4" t="s">
        <v>17</v>
      </c>
      <c r="E520" s="4" t="s">
        <v>13</v>
      </c>
      <c r="F520" s="4" t="s">
        <v>12</v>
      </c>
      <c r="G520" s="4">
        <v>45000</v>
      </c>
      <c r="H520" s="4">
        <v>44000</v>
      </c>
      <c r="I520" s="13">
        <v>840000</v>
      </c>
      <c r="J520" s="4">
        <v>60</v>
      </c>
      <c r="K520" s="4">
        <v>1</v>
      </c>
      <c r="L520" s="4" t="s">
        <v>14</v>
      </c>
      <c r="M520" s="4" t="s">
        <v>15</v>
      </c>
      <c r="N520" s="4" t="s">
        <v>623</v>
      </c>
      <c r="O520" s="4" t="s">
        <v>625</v>
      </c>
      <c r="P520" s="5">
        <v>0.18</v>
      </c>
      <c r="Q520" s="14">
        <f>PMT($AB$27/12,$AB$30,-$AB$26)</f>
        <v>21330.479038771631</v>
      </c>
      <c r="R520" s="4">
        <v>555000</v>
      </c>
      <c r="S520" s="2" t="s">
        <v>17</v>
      </c>
    </row>
    <row r="521" spans="1:19" x14ac:dyDescent="0.3">
      <c r="A521" s="4">
        <v>520</v>
      </c>
      <c r="B521" s="4" t="s">
        <v>540</v>
      </c>
      <c r="C521" s="4" t="s">
        <v>11</v>
      </c>
      <c r="D521" s="4" t="s">
        <v>12</v>
      </c>
      <c r="E521" s="4" t="s">
        <v>13</v>
      </c>
      <c r="F521" s="4" t="s">
        <v>12</v>
      </c>
      <c r="G521" s="4">
        <v>54000</v>
      </c>
      <c r="H521" s="4">
        <v>0</v>
      </c>
      <c r="I521" s="13">
        <v>550000</v>
      </c>
      <c r="J521" s="4">
        <v>60</v>
      </c>
      <c r="K521" s="4">
        <v>0</v>
      </c>
      <c r="L521" s="4" t="s">
        <v>18</v>
      </c>
      <c r="M521" s="4" t="s">
        <v>19</v>
      </c>
      <c r="N521" s="4" t="s">
        <v>623</v>
      </c>
      <c r="O521" s="4" t="s">
        <v>625</v>
      </c>
      <c r="P521" s="5">
        <v>0.18</v>
      </c>
      <c r="Q521" s="14">
        <f>PMT($AB$33/12,$AB$36,-$AB$32)</f>
        <v>13966.385084909996</v>
      </c>
      <c r="R521" s="4">
        <v>451000</v>
      </c>
      <c r="S521" s="2" t="s">
        <v>12</v>
      </c>
    </row>
    <row r="522" spans="1:19" x14ac:dyDescent="0.3">
      <c r="A522" s="4">
        <v>521</v>
      </c>
      <c r="B522" s="4" t="s">
        <v>541</v>
      </c>
      <c r="C522" s="4" t="s">
        <v>11</v>
      </c>
      <c r="D522" s="4" t="s">
        <v>12</v>
      </c>
      <c r="E522" s="4" t="s">
        <v>13</v>
      </c>
      <c r="F522" s="4" t="s">
        <v>12</v>
      </c>
      <c r="G522" s="4">
        <v>87000</v>
      </c>
      <c r="H522" s="4">
        <v>0</v>
      </c>
      <c r="I522" s="13">
        <v>1000000</v>
      </c>
      <c r="J522" s="4">
        <v>60</v>
      </c>
      <c r="K522" s="4">
        <v>0</v>
      </c>
      <c r="L522" s="4" t="s">
        <v>27</v>
      </c>
      <c r="M522" s="4" t="s">
        <v>19</v>
      </c>
      <c r="N522" s="4" t="s">
        <v>623</v>
      </c>
      <c r="O522" s="4" t="s">
        <v>625</v>
      </c>
      <c r="P522" s="5">
        <v>0.18</v>
      </c>
      <c r="Q522" s="14">
        <f>PMT($V$3/12,$V$6,-$V$2)</f>
        <v>25393.427427109084</v>
      </c>
      <c r="R522" s="4">
        <v>755000</v>
      </c>
      <c r="S522" s="2" t="s">
        <v>12</v>
      </c>
    </row>
    <row r="523" spans="1:19" x14ac:dyDescent="0.3">
      <c r="A523" s="4">
        <v>522</v>
      </c>
      <c r="B523" s="4" t="s">
        <v>542</v>
      </c>
      <c r="C523" s="4" t="s">
        <v>38</v>
      </c>
      <c r="D523" s="4" t="s">
        <v>12</v>
      </c>
      <c r="E523" s="4" t="s">
        <v>22</v>
      </c>
      <c r="F523" s="4" t="s">
        <v>17</v>
      </c>
      <c r="G523" s="4">
        <v>24601</v>
      </c>
      <c r="H523" s="4">
        <v>0</v>
      </c>
      <c r="I523" s="13">
        <v>423601</v>
      </c>
      <c r="J523" s="4">
        <v>60</v>
      </c>
      <c r="K523" s="4">
        <v>1</v>
      </c>
      <c r="L523" s="4" t="s">
        <v>14</v>
      </c>
      <c r="M523" s="4" t="s">
        <v>15</v>
      </c>
      <c r="N523" s="4" t="s">
        <v>623</v>
      </c>
      <c r="O523" s="4" t="s">
        <v>625</v>
      </c>
      <c r="P523" s="5">
        <v>0.18</v>
      </c>
      <c r="Q523" s="14">
        <f>PMT($AB$39/12,$AB$42,-$AB$38)</f>
        <v>10756.681251550835</v>
      </c>
      <c r="R523" s="4" t="s">
        <v>635</v>
      </c>
      <c r="S523" s="2" t="s">
        <v>12</v>
      </c>
    </row>
    <row r="524" spans="1:19" x14ac:dyDescent="0.3">
      <c r="A524" s="4">
        <v>523</v>
      </c>
      <c r="B524" s="4" t="s">
        <v>543</v>
      </c>
      <c r="C524" s="4" t="s">
        <v>11</v>
      </c>
      <c r="D524" s="4" t="s">
        <v>12</v>
      </c>
      <c r="E524" s="4" t="s">
        <v>22</v>
      </c>
      <c r="F524" s="4" t="s">
        <v>17</v>
      </c>
      <c r="G524" s="4">
        <v>75000</v>
      </c>
      <c r="H524" s="4">
        <v>0</v>
      </c>
      <c r="I524" s="13">
        <v>358000</v>
      </c>
      <c r="J524" s="4">
        <v>60</v>
      </c>
      <c r="K524" s="4">
        <v>1</v>
      </c>
      <c r="L524" s="4" t="s">
        <v>18</v>
      </c>
      <c r="M524" s="4" t="s">
        <v>15</v>
      </c>
      <c r="N524" s="4" t="s">
        <v>623</v>
      </c>
      <c r="O524" s="4" t="s">
        <v>625</v>
      </c>
      <c r="P524" s="5">
        <v>0.18</v>
      </c>
      <c r="Q524" s="14">
        <f>PMT($AB$45/12,$AB$48,-$AB$44)</f>
        <v>9090.8470189050531</v>
      </c>
      <c r="R524" s="4">
        <v>655000</v>
      </c>
      <c r="S524" s="2" t="s">
        <v>12</v>
      </c>
    </row>
    <row r="525" spans="1:19" x14ac:dyDescent="0.3">
      <c r="A525" s="4">
        <v>524</v>
      </c>
      <c r="B525" s="4" t="s">
        <v>544</v>
      </c>
      <c r="C525" s="4" t="s">
        <v>11</v>
      </c>
      <c r="D525" s="4" t="s">
        <v>17</v>
      </c>
      <c r="E525" s="4" t="s">
        <v>13</v>
      </c>
      <c r="F525" s="4" t="s">
        <v>12</v>
      </c>
      <c r="G525" s="4">
        <v>69700</v>
      </c>
      <c r="H525" s="4">
        <v>0</v>
      </c>
      <c r="I525" s="13">
        <v>587000</v>
      </c>
      <c r="J525" s="4">
        <v>60</v>
      </c>
      <c r="K525" s="4">
        <v>1</v>
      </c>
      <c r="L525" s="4" t="s">
        <v>14</v>
      </c>
      <c r="M525" s="4" t="s">
        <v>15</v>
      </c>
      <c r="N525" s="4" t="s">
        <v>623</v>
      </c>
      <c r="O525" s="4" t="s">
        <v>625</v>
      </c>
      <c r="P525" s="5">
        <v>0.18</v>
      </c>
      <c r="Q525" s="14">
        <f>PMT($AB$51/12,$AB$54,-$AB$50)</f>
        <v>14905.941899713032</v>
      </c>
      <c r="R525" s="4">
        <v>685000</v>
      </c>
      <c r="S525" s="2" t="s">
        <v>17</v>
      </c>
    </row>
    <row r="526" spans="1:19" x14ac:dyDescent="0.3">
      <c r="A526" s="4">
        <v>525</v>
      </c>
      <c r="B526" s="4" t="s">
        <v>545</v>
      </c>
      <c r="C526" s="4" t="s">
        <v>11</v>
      </c>
      <c r="D526" s="4" t="s">
        <v>12</v>
      </c>
      <c r="E526" s="4" t="s">
        <v>13</v>
      </c>
      <c r="F526" s="4" t="s">
        <v>12</v>
      </c>
      <c r="G526" s="4">
        <v>52400</v>
      </c>
      <c r="H526" s="4">
        <v>48733</v>
      </c>
      <c r="I526" s="13">
        <v>789000</v>
      </c>
      <c r="J526" s="4">
        <v>60</v>
      </c>
      <c r="K526" s="4">
        <v>1</v>
      </c>
      <c r="L526" s="4" t="s">
        <v>27</v>
      </c>
      <c r="M526" s="4" t="s">
        <v>15</v>
      </c>
      <c r="N526" s="4" t="s">
        <v>623</v>
      </c>
      <c r="O526" s="4" t="s">
        <v>625</v>
      </c>
      <c r="P526" s="5">
        <v>0.18</v>
      </c>
      <c r="Q526" s="14">
        <f>PMT($V$45/12,$V$48,-$V$44)</f>
        <v>20035.414239989066</v>
      </c>
      <c r="R526" s="4">
        <v>750000</v>
      </c>
      <c r="S526" s="2" t="s">
        <v>17</v>
      </c>
    </row>
    <row r="527" spans="1:19" x14ac:dyDescent="0.3">
      <c r="A527" s="4">
        <v>526</v>
      </c>
      <c r="B527" s="4" t="s">
        <v>546</v>
      </c>
      <c r="C527" s="4" t="s">
        <v>11</v>
      </c>
      <c r="D527" s="4" t="s">
        <v>17</v>
      </c>
      <c r="E527" s="4" t="s">
        <v>22</v>
      </c>
      <c r="F527" s="4" t="s">
        <v>12</v>
      </c>
      <c r="G527" s="4">
        <v>47860</v>
      </c>
      <c r="H527" s="4">
        <v>24970</v>
      </c>
      <c r="I527" s="13">
        <v>975000</v>
      </c>
      <c r="J527" s="4">
        <v>60</v>
      </c>
      <c r="K527" s="4">
        <v>1</v>
      </c>
      <c r="L527" s="4" t="s">
        <v>18</v>
      </c>
      <c r="M527" s="4" t="s">
        <v>19</v>
      </c>
      <c r="N527" s="4" t="s">
        <v>623</v>
      </c>
      <c r="O527" s="4" t="s">
        <v>625</v>
      </c>
      <c r="P527" s="5">
        <v>0.18</v>
      </c>
      <c r="Q527" s="14">
        <f>PMT($Y$45/12,$Y$48,-$Y$44)</f>
        <v>24758.591741431355</v>
      </c>
      <c r="R527" s="4">
        <v>740000</v>
      </c>
      <c r="S527" s="2" t="s">
        <v>12</v>
      </c>
    </row>
    <row r="528" spans="1:19" x14ac:dyDescent="0.3">
      <c r="A528" s="4">
        <v>527</v>
      </c>
      <c r="B528" s="4" t="s">
        <v>547</v>
      </c>
      <c r="C528" s="4" t="s">
        <v>11</v>
      </c>
      <c r="D528" s="4" t="s">
        <v>17</v>
      </c>
      <c r="E528" s="4" t="s">
        <v>13</v>
      </c>
      <c r="F528" s="4" t="s">
        <v>12</v>
      </c>
      <c r="G528" s="4">
        <v>56980</v>
      </c>
      <c r="H528" s="4">
        <v>25600</v>
      </c>
      <c r="I528" s="13">
        <v>849300</v>
      </c>
      <c r="J528" s="4">
        <v>60</v>
      </c>
      <c r="K528" s="4">
        <v>1</v>
      </c>
      <c r="L528" s="4" t="s">
        <v>18</v>
      </c>
      <c r="M528" s="4" t="s">
        <v>15</v>
      </c>
      <c r="N528" s="4" t="s">
        <v>623</v>
      </c>
      <c r="O528" s="4" t="s">
        <v>625</v>
      </c>
      <c r="P528" s="5">
        <v>0.18</v>
      </c>
      <c r="Q528" s="14">
        <f>PMT($V$51/12,$V$54,-$V$50)</f>
        <v>21566.637913843744</v>
      </c>
      <c r="R528" s="4">
        <v>841000</v>
      </c>
      <c r="S528" s="2" t="s">
        <v>12</v>
      </c>
    </row>
    <row r="529" spans="1:19" x14ac:dyDescent="0.3">
      <c r="A529" s="4">
        <v>528</v>
      </c>
      <c r="B529" s="4" t="s">
        <v>548</v>
      </c>
      <c r="C529" s="4" t="s">
        <v>38</v>
      </c>
      <c r="D529" s="4" t="s">
        <v>17</v>
      </c>
      <c r="E529" s="4" t="s">
        <v>13</v>
      </c>
      <c r="F529" s="4" t="s">
        <v>12</v>
      </c>
      <c r="G529" s="4">
        <v>49800</v>
      </c>
      <c r="H529" s="4">
        <v>0</v>
      </c>
      <c r="I529" s="13">
        <v>487500</v>
      </c>
      <c r="J529" s="4">
        <v>60</v>
      </c>
      <c r="K529" s="4">
        <v>1</v>
      </c>
      <c r="L529" s="4" t="s">
        <v>27</v>
      </c>
      <c r="M529" s="4" t="s">
        <v>15</v>
      </c>
      <c r="N529" s="4" t="s">
        <v>623</v>
      </c>
      <c r="O529" s="4" t="s">
        <v>625</v>
      </c>
      <c r="P529" s="5">
        <v>0.18</v>
      </c>
      <c r="Q529" s="14">
        <f>PMT($Y$51/12,$Y$54,-$Y$50)</f>
        <v>12379.295870715678</v>
      </c>
      <c r="R529" s="4">
        <v>450000</v>
      </c>
      <c r="S529" s="2" t="s">
        <v>12</v>
      </c>
    </row>
    <row r="530" spans="1:19" x14ac:dyDescent="0.3">
      <c r="A530" s="4">
        <v>529</v>
      </c>
      <c r="B530" s="4" t="s">
        <v>549</v>
      </c>
      <c r="C530" s="4" t="s">
        <v>38</v>
      </c>
      <c r="D530" s="4" t="s">
        <v>12</v>
      </c>
      <c r="E530" s="4" t="s">
        <v>13</v>
      </c>
      <c r="F530" s="4" t="s">
        <v>12</v>
      </c>
      <c r="G530" s="4">
        <v>58799</v>
      </c>
      <c r="H530" s="4">
        <v>26870</v>
      </c>
      <c r="I530" s="13">
        <v>875644</v>
      </c>
      <c r="J530" s="4">
        <v>60</v>
      </c>
      <c r="K530" s="4">
        <v>0</v>
      </c>
      <c r="L530" s="4" t="s">
        <v>27</v>
      </c>
      <c r="M530" s="4" t="s">
        <v>19</v>
      </c>
      <c r="N530" s="4" t="s">
        <v>623</v>
      </c>
      <c r="O530" s="4" t="s">
        <v>625</v>
      </c>
      <c r="P530" s="5">
        <v>0.18</v>
      </c>
      <c r="Q530" s="14">
        <f>PMT($V$57/12,$V$60,-$V$56)</f>
        <v>22235.602365983505</v>
      </c>
      <c r="R530" s="4">
        <v>655000</v>
      </c>
      <c r="S530" s="2" t="s">
        <v>12</v>
      </c>
    </row>
    <row r="531" spans="1:19" x14ac:dyDescent="0.3">
      <c r="A531" s="4">
        <v>530</v>
      </c>
      <c r="B531" s="4" t="s">
        <v>550</v>
      </c>
      <c r="C531" s="4" t="s">
        <v>38</v>
      </c>
      <c r="D531" s="4" t="s">
        <v>12</v>
      </c>
      <c r="E531" s="4" t="s">
        <v>13</v>
      </c>
      <c r="F531" s="4" t="s">
        <v>17</v>
      </c>
      <c r="G531" s="4">
        <v>48799</v>
      </c>
      <c r="H531" s="4">
        <v>34690</v>
      </c>
      <c r="I531" s="13">
        <v>654420</v>
      </c>
      <c r="J531" s="4">
        <v>60</v>
      </c>
      <c r="K531" s="4">
        <v>1</v>
      </c>
      <c r="L531" s="4" t="s">
        <v>27</v>
      </c>
      <c r="M531" s="4" t="s">
        <v>15</v>
      </c>
      <c r="N531" s="4" t="s">
        <v>623</v>
      </c>
      <c r="O531" s="4" t="s">
        <v>625</v>
      </c>
      <c r="P531" s="5">
        <v>0.18</v>
      </c>
      <c r="Q531" s="14">
        <f>PMT($Y$57/12,$Y$60,-$Y$56)</f>
        <v>16617.966776848727</v>
      </c>
      <c r="R531" s="4">
        <v>620000</v>
      </c>
      <c r="S531" s="2" t="s">
        <v>12</v>
      </c>
    </row>
    <row r="532" spans="1:19" x14ac:dyDescent="0.3">
      <c r="A532" s="4">
        <v>531</v>
      </c>
      <c r="B532" s="4" t="s">
        <v>551</v>
      </c>
      <c r="C532" s="4" t="s">
        <v>11</v>
      </c>
      <c r="D532" s="4" t="s">
        <v>17</v>
      </c>
      <c r="E532" s="4" t="s">
        <v>22</v>
      </c>
      <c r="F532" s="4" t="s">
        <v>12</v>
      </c>
      <c r="G532" s="4">
        <v>35000</v>
      </c>
      <c r="H532" s="4">
        <v>48700</v>
      </c>
      <c r="I532" s="13">
        <v>800000</v>
      </c>
      <c r="J532" s="4">
        <v>60</v>
      </c>
      <c r="K532" s="4">
        <v>1</v>
      </c>
      <c r="L532" s="4" t="s">
        <v>14</v>
      </c>
      <c r="M532" s="4" t="s">
        <v>15</v>
      </c>
      <c r="N532" s="4" t="s">
        <v>623</v>
      </c>
      <c r="O532" s="4" t="s">
        <v>625</v>
      </c>
      <c r="P532" s="5">
        <v>0.18</v>
      </c>
      <c r="Q532" s="14">
        <f>PMT($V$33/12,$V$36,-$V$32)</f>
        <v>20314.741941687265</v>
      </c>
      <c r="R532" s="4">
        <v>450000</v>
      </c>
      <c r="S532" s="2" t="s">
        <v>12</v>
      </c>
    </row>
    <row r="533" spans="1:19" x14ac:dyDescent="0.3">
      <c r="A533" s="4">
        <v>532</v>
      </c>
      <c r="B533" s="4" t="s">
        <v>552</v>
      </c>
      <c r="C533" s="4" t="s">
        <v>38</v>
      </c>
      <c r="D533" s="4" t="s">
        <v>17</v>
      </c>
      <c r="E533" s="4" t="s">
        <v>22</v>
      </c>
      <c r="F533" s="4" t="s">
        <v>12</v>
      </c>
      <c r="G533" s="4">
        <v>35000</v>
      </c>
      <c r="H533" s="4">
        <v>0</v>
      </c>
      <c r="I533" s="13">
        <v>620000</v>
      </c>
      <c r="J533" s="4">
        <v>60</v>
      </c>
      <c r="K533" s="4">
        <v>0</v>
      </c>
      <c r="L533" s="4" t="s">
        <v>27</v>
      </c>
      <c r="M533" s="4" t="s">
        <v>15</v>
      </c>
      <c r="N533" s="4" t="s">
        <v>623</v>
      </c>
      <c r="O533" s="4" t="s">
        <v>625</v>
      </c>
      <c r="P533" s="5">
        <v>0.18</v>
      </c>
      <c r="Q533" s="14">
        <f>PMT($AB$15/12,$AB$18,-$AB$14)</f>
        <v>15743.925004807632</v>
      </c>
      <c r="R533" s="4">
        <v>354000</v>
      </c>
      <c r="S533" s="2" t="s">
        <v>12</v>
      </c>
    </row>
    <row r="534" spans="1:19" x14ac:dyDescent="0.3">
      <c r="A534" s="4">
        <v>533</v>
      </c>
      <c r="B534" s="4" t="s">
        <v>553</v>
      </c>
      <c r="C534" s="4" t="s">
        <v>11</v>
      </c>
      <c r="D534" s="4" t="s">
        <v>17</v>
      </c>
      <c r="E534" s="4" t="s">
        <v>13</v>
      </c>
      <c r="F534" s="4" t="s">
        <v>12</v>
      </c>
      <c r="G534" s="4">
        <v>21654</v>
      </c>
      <c r="H534" s="4">
        <v>14620</v>
      </c>
      <c r="I534" s="13">
        <v>489300</v>
      </c>
      <c r="J534" s="4">
        <v>60</v>
      </c>
      <c r="K534" s="4">
        <v>1</v>
      </c>
      <c r="L534" s="4" t="s">
        <v>18</v>
      </c>
      <c r="M534" s="4" t="s">
        <v>15</v>
      </c>
      <c r="N534" s="4" t="s">
        <v>623</v>
      </c>
      <c r="O534" s="4" t="s">
        <v>625</v>
      </c>
      <c r="P534" s="5">
        <v>0.18</v>
      </c>
      <c r="Q534" s="14">
        <f>PMT($AB$57/12,$AB$60,-$AB$56)</f>
        <v>12425.004040084474</v>
      </c>
      <c r="R534" s="4" t="s">
        <v>635</v>
      </c>
      <c r="S534" s="2" t="s">
        <v>12</v>
      </c>
    </row>
    <row r="535" spans="1:19" x14ac:dyDescent="0.3">
      <c r="A535" s="4">
        <v>534</v>
      </c>
      <c r="B535" s="4" t="s">
        <v>554</v>
      </c>
      <c r="C535" s="4" t="s">
        <v>11</v>
      </c>
      <c r="D535" s="4" t="s">
        <v>12</v>
      </c>
      <c r="E535" s="4" t="s">
        <v>22</v>
      </c>
      <c r="F535" s="4" t="s">
        <v>12</v>
      </c>
      <c r="G535" s="4">
        <v>25000</v>
      </c>
      <c r="H535" s="4">
        <v>0</v>
      </c>
      <c r="I535" s="13">
        <v>500000</v>
      </c>
      <c r="J535" s="4">
        <v>60</v>
      </c>
      <c r="K535" s="4">
        <v>1</v>
      </c>
      <c r="L535" s="4" t="s">
        <v>27</v>
      </c>
      <c r="M535" s="4" t="s">
        <v>19</v>
      </c>
      <c r="N535" s="4" t="s">
        <v>623</v>
      </c>
      <c r="O535" s="4" t="s">
        <v>625</v>
      </c>
      <c r="P535" s="5">
        <v>0.18</v>
      </c>
      <c r="Q535" s="14">
        <f>PMT($V$15/12,$V$18,-$V$14)</f>
        <v>12696.713713554542</v>
      </c>
      <c r="R535" s="4" t="s">
        <v>635</v>
      </c>
      <c r="S535" s="2" t="s">
        <v>12</v>
      </c>
    </row>
    <row r="536" spans="1:19" x14ac:dyDescent="0.3">
      <c r="A536" s="4">
        <v>535</v>
      </c>
      <c r="B536" s="4" t="s">
        <v>555</v>
      </c>
      <c r="C536" s="4" t="s">
        <v>11</v>
      </c>
      <c r="D536" s="4" t="s">
        <v>12</v>
      </c>
      <c r="E536" s="4" t="s">
        <v>13</v>
      </c>
      <c r="F536" s="4" t="s">
        <v>12</v>
      </c>
      <c r="G536" s="4">
        <v>35700</v>
      </c>
      <c r="H536" s="4">
        <v>0</v>
      </c>
      <c r="I536" s="13">
        <v>478000</v>
      </c>
      <c r="J536" s="4">
        <v>60</v>
      </c>
      <c r="K536" s="4">
        <v>1</v>
      </c>
      <c r="L536" s="4" t="s">
        <v>18</v>
      </c>
      <c r="M536" s="4" t="s">
        <v>15</v>
      </c>
      <c r="N536" s="4" t="s">
        <v>623</v>
      </c>
      <c r="O536" s="4" t="s">
        <v>625</v>
      </c>
      <c r="P536" s="5">
        <v>0.18</v>
      </c>
      <c r="Q536" s="14">
        <f>PMT($V$63/12,$V$66,-$V$62)</f>
        <v>12138.058310158141</v>
      </c>
      <c r="R536" s="4">
        <v>355000</v>
      </c>
      <c r="S536" s="2" t="s">
        <v>17</v>
      </c>
    </row>
    <row r="537" spans="1:19" x14ac:dyDescent="0.3">
      <c r="A537" s="4">
        <v>536</v>
      </c>
      <c r="B537" s="4" t="s">
        <v>556</v>
      </c>
      <c r="C537" s="4" t="s">
        <v>38</v>
      </c>
      <c r="D537" s="4" t="s">
        <v>12</v>
      </c>
      <c r="E537" s="4" t="s">
        <v>13</v>
      </c>
      <c r="F537" s="4" t="s">
        <v>12</v>
      </c>
      <c r="G537" s="4">
        <v>48550</v>
      </c>
      <c r="H537" s="4">
        <v>54800</v>
      </c>
      <c r="I537" s="13">
        <v>748890</v>
      </c>
      <c r="J537" s="4">
        <v>60</v>
      </c>
      <c r="K537" s="4">
        <v>0</v>
      </c>
      <c r="L537" s="4" t="s">
        <v>27</v>
      </c>
      <c r="M537" s="4" t="s">
        <v>19</v>
      </c>
      <c r="N537" s="4" t="s">
        <v>623</v>
      </c>
      <c r="O537" s="4" t="s">
        <v>625</v>
      </c>
      <c r="P537" s="5">
        <v>0.18</v>
      </c>
      <c r="Q537" s="14">
        <f>PMT($Y$63/12,$Y$66,-$Y$62)</f>
        <v>19016.883865887721</v>
      </c>
      <c r="R537" s="4">
        <v>410000</v>
      </c>
      <c r="S537" s="2" t="s">
        <v>12</v>
      </c>
    </row>
    <row r="538" spans="1:19" x14ac:dyDescent="0.3">
      <c r="A538" s="4">
        <v>537</v>
      </c>
      <c r="B538" s="4" t="s">
        <v>557</v>
      </c>
      <c r="C538" s="4" t="s">
        <v>11</v>
      </c>
      <c r="D538" s="4" t="s">
        <v>17</v>
      </c>
      <c r="E538" s="4" t="s">
        <v>13</v>
      </c>
      <c r="F538" s="4" t="s">
        <v>12</v>
      </c>
      <c r="G538" s="4">
        <v>150000</v>
      </c>
      <c r="H538" s="4">
        <v>0</v>
      </c>
      <c r="I538" s="13">
        <v>1500000</v>
      </c>
      <c r="J538" s="4">
        <v>60</v>
      </c>
      <c r="K538" s="4">
        <v>1</v>
      </c>
      <c r="L538" s="4" t="s">
        <v>18</v>
      </c>
      <c r="M538" s="4" t="s">
        <v>15</v>
      </c>
      <c r="N538" s="4" t="s">
        <v>623</v>
      </c>
      <c r="O538" s="4" t="s">
        <v>625</v>
      </c>
      <c r="P538" s="5">
        <v>0.18</v>
      </c>
      <c r="Q538" s="14">
        <f>PMT($V$9/12,$V$12,-$V$8)</f>
        <v>38090.141140663625</v>
      </c>
      <c r="R538" s="4">
        <v>900000</v>
      </c>
      <c r="S538" s="2" t="s">
        <v>12</v>
      </c>
    </row>
    <row r="539" spans="1:19" x14ac:dyDescent="0.3">
      <c r="A539" s="4">
        <v>538</v>
      </c>
      <c r="B539" s="4" t="s">
        <v>558</v>
      </c>
      <c r="C539" s="4" t="s">
        <v>11</v>
      </c>
      <c r="D539" s="4" t="s">
        <v>17</v>
      </c>
      <c r="E539" s="4" t="s">
        <v>13</v>
      </c>
      <c r="F539" s="4" t="s">
        <v>17</v>
      </c>
      <c r="G539" s="4">
        <v>50000</v>
      </c>
      <c r="H539" s="4">
        <v>0</v>
      </c>
      <c r="I539" s="13">
        <v>1000000</v>
      </c>
      <c r="J539" s="4">
        <v>60</v>
      </c>
      <c r="K539" s="4">
        <v>0</v>
      </c>
      <c r="L539" s="4" t="s">
        <v>18</v>
      </c>
      <c r="M539" s="4" t="s">
        <v>19</v>
      </c>
      <c r="N539" s="4" t="s">
        <v>623</v>
      </c>
      <c r="O539" s="4" t="s">
        <v>625</v>
      </c>
      <c r="P539" s="5">
        <v>0.18</v>
      </c>
      <c r="Q539" s="14">
        <f>PMT($V$3/12,$V$6,-$V$2)</f>
        <v>25393.427427109084</v>
      </c>
      <c r="R539" s="4">
        <v>455100</v>
      </c>
      <c r="S539" s="2" t="s">
        <v>12</v>
      </c>
    </row>
    <row r="540" spans="1:19" x14ac:dyDescent="0.3">
      <c r="A540" s="4">
        <v>539</v>
      </c>
      <c r="B540" s="4" t="s">
        <v>559</v>
      </c>
      <c r="C540" s="4" t="s">
        <v>11</v>
      </c>
      <c r="D540" s="4" t="s">
        <v>17</v>
      </c>
      <c r="E540" s="4" t="s">
        <v>22</v>
      </c>
      <c r="F540" s="4" t="s">
        <v>12</v>
      </c>
      <c r="G540" s="4">
        <v>100000</v>
      </c>
      <c r="H540" s="4">
        <v>35000</v>
      </c>
      <c r="I540" s="13">
        <v>1500000</v>
      </c>
      <c r="J540" s="4">
        <v>60</v>
      </c>
      <c r="K540" s="4">
        <v>1</v>
      </c>
      <c r="L540" s="4" t="s">
        <v>18</v>
      </c>
      <c r="M540" s="4" t="s">
        <v>15</v>
      </c>
      <c r="N540" s="4" t="s">
        <v>623</v>
      </c>
      <c r="O540" s="4" t="s">
        <v>625</v>
      </c>
      <c r="P540" s="5">
        <v>0.18</v>
      </c>
      <c r="Q540" s="14">
        <f t="shared" ref="Q540:Q541" si="52">PMT($V$9/12,$V$12,-$V$8)</f>
        <v>38090.141140663625</v>
      </c>
      <c r="R540" s="4">
        <v>985000</v>
      </c>
      <c r="S540" s="2" t="s">
        <v>12</v>
      </c>
    </row>
    <row r="541" spans="1:19" x14ac:dyDescent="0.3">
      <c r="A541" s="4">
        <v>540</v>
      </c>
      <c r="B541" s="4" t="s">
        <v>560</v>
      </c>
      <c r="C541" s="4" t="s">
        <v>11</v>
      </c>
      <c r="D541" s="4" t="s">
        <v>17</v>
      </c>
      <c r="E541" s="4" t="s">
        <v>13</v>
      </c>
      <c r="F541" s="4" t="s">
        <v>12</v>
      </c>
      <c r="G541" s="4">
        <v>80000</v>
      </c>
      <c r="H541" s="4">
        <v>0</v>
      </c>
      <c r="I541" s="13">
        <v>1500000</v>
      </c>
      <c r="J541" s="4">
        <v>60</v>
      </c>
      <c r="K541" s="4">
        <v>1</v>
      </c>
      <c r="L541" s="4" t="s">
        <v>14</v>
      </c>
      <c r="M541" s="4" t="s">
        <v>15</v>
      </c>
      <c r="N541" s="4" t="s">
        <v>623</v>
      </c>
      <c r="O541" s="4" t="s">
        <v>625</v>
      </c>
      <c r="P541" s="5">
        <v>0.18</v>
      </c>
      <c r="Q541" s="14">
        <f t="shared" si="52"/>
        <v>38090.141140663625</v>
      </c>
      <c r="R541" s="4">
        <v>845000</v>
      </c>
      <c r="S541" s="2" t="s">
        <v>12</v>
      </c>
    </row>
    <row r="542" spans="1:19" x14ac:dyDescent="0.3">
      <c r="A542" s="4">
        <v>541</v>
      </c>
      <c r="B542" s="4" t="s">
        <v>561</v>
      </c>
      <c r="C542" s="4" t="s">
        <v>11</v>
      </c>
      <c r="D542" s="4" t="s">
        <v>17</v>
      </c>
      <c r="E542" s="4" t="s">
        <v>22</v>
      </c>
      <c r="F542" s="4" t="s">
        <v>12</v>
      </c>
      <c r="G542" s="4">
        <v>50000</v>
      </c>
      <c r="H542" s="4">
        <v>0</v>
      </c>
      <c r="I542" s="13">
        <v>500000</v>
      </c>
      <c r="J542" s="4">
        <v>60</v>
      </c>
      <c r="K542" s="4">
        <v>0</v>
      </c>
      <c r="L542" s="4" t="s">
        <v>14</v>
      </c>
      <c r="M542" s="4" t="s">
        <v>19</v>
      </c>
      <c r="N542" s="4" t="s">
        <v>623</v>
      </c>
      <c r="O542" s="4" t="s">
        <v>625</v>
      </c>
      <c r="P542" s="5">
        <v>0.18</v>
      </c>
      <c r="Q542" s="14">
        <f>PMT($V$15/12,$V$18,-$V$14)</f>
        <v>12696.713713554542</v>
      </c>
      <c r="R542" s="4">
        <v>455000</v>
      </c>
      <c r="S542" s="2" t="s">
        <v>12</v>
      </c>
    </row>
    <row r="543" spans="1:19" x14ac:dyDescent="0.3">
      <c r="A543" s="4">
        <v>542</v>
      </c>
      <c r="B543" s="4" t="s">
        <v>562</v>
      </c>
      <c r="C543" s="4" t="s">
        <v>11</v>
      </c>
      <c r="D543" s="4" t="s">
        <v>17</v>
      </c>
      <c r="E543" s="4" t="s">
        <v>13</v>
      </c>
      <c r="F543" s="4" t="s">
        <v>12</v>
      </c>
      <c r="G543" s="4">
        <v>45000</v>
      </c>
      <c r="H543" s="4">
        <v>44000</v>
      </c>
      <c r="I543" s="13">
        <v>840000</v>
      </c>
      <c r="J543" s="4">
        <v>60</v>
      </c>
      <c r="K543" s="4">
        <v>0</v>
      </c>
      <c r="L543" s="4" t="s">
        <v>18</v>
      </c>
      <c r="M543" s="4" t="s">
        <v>19</v>
      </c>
      <c r="N543" s="4" t="s">
        <v>623</v>
      </c>
      <c r="O543" s="4" t="s">
        <v>625</v>
      </c>
      <c r="P543" s="5">
        <v>0.18</v>
      </c>
      <c r="Q543" s="14">
        <f>PMT($AB$27/12,$AB$30,-$AB$26)</f>
        <v>21330.479038771631</v>
      </c>
      <c r="R543" s="4">
        <v>650000</v>
      </c>
      <c r="S543" s="2" t="s">
        <v>12</v>
      </c>
    </row>
    <row r="544" spans="1:19" x14ac:dyDescent="0.3">
      <c r="A544" s="4">
        <v>543</v>
      </c>
      <c r="B544" s="4" t="s">
        <v>563</v>
      </c>
      <c r="C544" s="4" t="s">
        <v>11</v>
      </c>
      <c r="D544" s="4" t="s">
        <v>17</v>
      </c>
      <c r="E544" s="4" t="s">
        <v>13</v>
      </c>
      <c r="F544" s="4" t="s">
        <v>12</v>
      </c>
      <c r="G544" s="4">
        <v>54000</v>
      </c>
      <c r="H544" s="4">
        <v>0</v>
      </c>
      <c r="I544" s="13">
        <v>550000</v>
      </c>
      <c r="J544" s="4">
        <v>60</v>
      </c>
      <c r="K544" s="4">
        <v>1</v>
      </c>
      <c r="L544" s="4" t="s">
        <v>27</v>
      </c>
      <c r="M544" s="4" t="s">
        <v>15</v>
      </c>
      <c r="N544" s="4" t="s">
        <v>623</v>
      </c>
      <c r="O544" s="4" t="s">
        <v>625</v>
      </c>
      <c r="P544" s="5">
        <v>0.18</v>
      </c>
      <c r="Q544" s="14">
        <f>PMT($AB$33/12,$AB$36,-$AB$32)</f>
        <v>13966.385084909996</v>
      </c>
      <c r="R544" s="4">
        <v>451000</v>
      </c>
      <c r="S544" s="2" t="s">
        <v>12</v>
      </c>
    </row>
    <row r="545" spans="1:19" x14ac:dyDescent="0.3">
      <c r="A545" s="4">
        <v>544</v>
      </c>
      <c r="B545" s="4" t="s">
        <v>564</v>
      </c>
      <c r="C545" s="4" t="s">
        <v>38</v>
      </c>
      <c r="D545" s="4" t="s">
        <v>12</v>
      </c>
      <c r="E545" s="4" t="s">
        <v>13</v>
      </c>
      <c r="F545" s="4" t="s">
        <v>12</v>
      </c>
      <c r="G545" s="4">
        <v>87000</v>
      </c>
      <c r="H545" s="4">
        <v>0</v>
      </c>
      <c r="I545" s="13">
        <v>1000000</v>
      </c>
      <c r="J545" s="4">
        <v>60</v>
      </c>
      <c r="K545" s="4">
        <v>0</v>
      </c>
      <c r="L545" s="4" t="s">
        <v>14</v>
      </c>
      <c r="M545" s="4" t="s">
        <v>15</v>
      </c>
      <c r="N545" s="4" t="s">
        <v>623</v>
      </c>
      <c r="O545" s="4" t="s">
        <v>625</v>
      </c>
      <c r="P545" s="5">
        <v>0.18</v>
      </c>
      <c r="Q545" s="14">
        <f>PMT($V$3/12,$V$6,-$V$2)</f>
        <v>25393.427427109084</v>
      </c>
      <c r="R545" s="4">
        <v>765000</v>
      </c>
      <c r="S545" s="2" t="s">
        <v>17</v>
      </c>
    </row>
    <row r="546" spans="1:19" x14ac:dyDescent="0.3">
      <c r="A546" s="4">
        <v>545</v>
      </c>
      <c r="B546" s="4" t="s">
        <v>565</v>
      </c>
      <c r="C546" s="4" t="s">
        <v>11</v>
      </c>
      <c r="D546" s="4" t="s">
        <v>17</v>
      </c>
      <c r="E546" s="4" t="s">
        <v>13</v>
      </c>
      <c r="F546" s="4" t="s">
        <v>17</v>
      </c>
      <c r="G546" s="4">
        <v>24601</v>
      </c>
      <c r="H546" s="4">
        <v>0</v>
      </c>
      <c r="I546" s="13">
        <v>423601</v>
      </c>
      <c r="J546" s="4">
        <v>60</v>
      </c>
      <c r="K546" s="4">
        <v>1</v>
      </c>
      <c r="L546" s="4" t="s">
        <v>27</v>
      </c>
      <c r="M546" s="4" t="s">
        <v>15</v>
      </c>
      <c r="N546" s="4" t="s">
        <v>623</v>
      </c>
      <c r="O546" s="4" t="s">
        <v>625</v>
      </c>
      <c r="P546" s="5">
        <v>0.18</v>
      </c>
      <c r="Q546" s="14">
        <f>PMT($AB$39/12,$AB$42,-$AB$38)</f>
        <v>10756.681251550835</v>
      </c>
      <c r="R546" s="4" t="s">
        <v>635</v>
      </c>
      <c r="S546" s="2" t="s">
        <v>17</v>
      </c>
    </row>
    <row r="547" spans="1:19" x14ac:dyDescent="0.3">
      <c r="A547" s="4">
        <v>546</v>
      </c>
      <c r="B547" s="4" t="s">
        <v>566</v>
      </c>
      <c r="C547" s="4" t="s">
        <v>11</v>
      </c>
      <c r="D547" s="4" t="s">
        <v>17</v>
      </c>
      <c r="E547" s="4" t="s">
        <v>13</v>
      </c>
      <c r="F547" s="4" t="s">
        <v>12</v>
      </c>
      <c r="G547" s="4">
        <v>75000</v>
      </c>
      <c r="H547" s="4">
        <v>0</v>
      </c>
      <c r="I547" s="13">
        <v>358000</v>
      </c>
      <c r="J547" s="4">
        <v>60</v>
      </c>
      <c r="K547" s="4">
        <v>1</v>
      </c>
      <c r="L547" s="4" t="s">
        <v>27</v>
      </c>
      <c r="M547" s="4" t="s">
        <v>15</v>
      </c>
      <c r="N547" s="4" t="s">
        <v>623</v>
      </c>
      <c r="O547" s="4" t="s">
        <v>625</v>
      </c>
      <c r="P547" s="5">
        <v>0.18</v>
      </c>
      <c r="Q547" s="14">
        <f>PMT($AB$45/12,$AB$48,-$AB$44)</f>
        <v>9090.8470189050531</v>
      </c>
      <c r="R547" s="4">
        <v>650000</v>
      </c>
      <c r="S547" s="2" t="s">
        <v>12</v>
      </c>
    </row>
    <row r="548" spans="1:19" x14ac:dyDescent="0.3">
      <c r="A548" s="4">
        <v>547</v>
      </c>
      <c r="B548" s="4" t="s">
        <v>567</v>
      </c>
      <c r="C548" s="4" t="s">
        <v>38</v>
      </c>
      <c r="D548" s="4" t="s">
        <v>17</v>
      </c>
      <c r="E548" s="4" t="s">
        <v>13</v>
      </c>
      <c r="F548" s="4" t="s">
        <v>12</v>
      </c>
      <c r="G548" s="4">
        <v>69700</v>
      </c>
      <c r="H548" s="4">
        <v>0</v>
      </c>
      <c r="I548" s="13">
        <v>587000</v>
      </c>
      <c r="J548" s="4">
        <v>60</v>
      </c>
      <c r="K548" s="4">
        <v>1</v>
      </c>
      <c r="L548" s="4" t="s">
        <v>27</v>
      </c>
      <c r="M548" s="4" t="s">
        <v>15</v>
      </c>
      <c r="N548" s="4" t="s">
        <v>623</v>
      </c>
      <c r="O548" s="4" t="s">
        <v>625</v>
      </c>
      <c r="P548" s="5">
        <v>0.18</v>
      </c>
      <c r="Q548" s="14">
        <f>PMT($AB$51/12,$AB$54,-$AB$50)</f>
        <v>14905.941899713032</v>
      </c>
      <c r="R548" s="4">
        <v>630000</v>
      </c>
      <c r="S548" s="2" t="s">
        <v>17</v>
      </c>
    </row>
    <row r="549" spans="1:19" x14ac:dyDescent="0.3">
      <c r="A549" s="4">
        <v>548</v>
      </c>
      <c r="B549" s="4" t="s">
        <v>568</v>
      </c>
      <c r="C549" s="4" t="s">
        <v>11</v>
      </c>
      <c r="D549" s="4" t="s">
        <v>17</v>
      </c>
      <c r="E549" s="4" t="s">
        <v>22</v>
      </c>
      <c r="F549" s="4" t="s">
        <v>12</v>
      </c>
      <c r="G549" s="4">
        <v>52400</v>
      </c>
      <c r="H549" s="4">
        <v>48733</v>
      </c>
      <c r="I549" s="13">
        <v>789000</v>
      </c>
      <c r="J549" s="4">
        <v>60</v>
      </c>
      <c r="K549" s="4">
        <v>1</v>
      </c>
      <c r="L549" s="4" t="s">
        <v>27</v>
      </c>
      <c r="M549" s="4" t="s">
        <v>15</v>
      </c>
      <c r="N549" s="4" t="s">
        <v>623</v>
      </c>
      <c r="O549" s="4" t="s">
        <v>625</v>
      </c>
      <c r="P549" s="5">
        <v>0.18</v>
      </c>
      <c r="Q549" s="14">
        <f>PMT($V$45/12,$V$48,-$V$44)</f>
        <v>20035.414239989066</v>
      </c>
      <c r="R549" s="4">
        <v>785000</v>
      </c>
      <c r="S549" s="2" t="s">
        <v>12</v>
      </c>
    </row>
    <row r="550" spans="1:19" x14ac:dyDescent="0.3">
      <c r="A550" s="4">
        <v>549</v>
      </c>
      <c r="B550" s="4" t="s">
        <v>569</v>
      </c>
      <c r="C550" s="4" t="s">
        <v>38</v>
      </c>
      <c r="D550" s="4" t="s">
        <v>17</v>
      </c>
      <c r="E550" s="4" t="s">
        <v>13</v>
      </c>
      <c r="F550" s="4" t="s">
        <v>17</v>
      </c>
      <c r="G550" s="4">
        <v>47860</v>
      </c>
      <c r="H550" s="4">
        <v>24970</v>
      </c>
      <c r="I550" s="13">
        <v>975000</v>
      </c>
      <c r="J550" s="4">
        <v>60</v>
      </c>
      <c r="K550" s="4">
        <v>1</v>
      </c>
      <c r="L550" s="4" t="s">
        <v>27</v>
      </c>
      <c r="M550" s="4" t="s">
        <v>15</v>
      </c>
      <c r="N550" s="4" t="s">
        <v>623</v>
      </c>
      <c r="O550" s="4" t="s">
        <v>625</v>
      </c>
      <c r="P550" s="5">
        <v>0.18</v>
      </c>
      <c r="Q550" s="14">
        <f>PMT($Y$45/12,$Y$48,-$Y$44)</f>
        <v>24758.591741431355</v>
      </c>
      <c r="R550" s="4">
        <v>684100</v>
      </c>
      <c r="S550" s="2" t="s">
        <v>12</v>
      </c>
    </row>
    <row r="551" spans="1:19" x14ac:dyDescent="0.3">
      <c r="A551" s="4">
        <v>550</v>
      </c>
      <c r="B551" s="4" t="s">
        <v>570</v>
      </c>
      <c r="C551" s="4" t="s">
        <v>11</v>
      </c>
      <c r="D551" s="4" t="s">
        <v>17</v>
      </c>
      <c r="E551" s="4" t="s">
        <v>13</v>
      </c>
      <c r="F551" s="4" t="s">
        <v>12</v>
      </c>
      <c r="G551" s="4">
        <v>56980</v>
      </c>
      <c r="H551" s="4">
        <v>25600</v>
      </c>
      <c r="I551" s="13">
        <v>849300</v>
      </c>
      <c r="J551" s="4">
        <v>60</v>
      </c>
      <c r="K551" s="4">
        <v>1</v>
      </c>
      <c r="L551" s="4" t="s">
        <v>18</v>
      </c>
      <c r="M551" s="4" t="s">
        <v>15</v>
      </c>
      <c r="N551" s="4" t="s">
        <v>623</v>
      </c>
      <c r="O551" s="4" t="s">
        <v>625</v>
      </c>
      <c r="P551" s="5">
        <v>0.18</v>
      </c>
      <c r="Q551" s="14">
        <f>PMT($V$51/12,$V$54,-$V$50)</f>
        <v>21566.637913843744</v>
      </c>
      <c r="R551" s="4">
        <v>653000</v>
      </c>
      <c r="S551" s="2" t="s">
        <v>12</v>
      </c>
    </row>
    <row r="552" spans="1:19" x14ac:dyDescent="0.3">
      <c r="A552" s="4">
        <v>551</v>
      </c>
      <c r="B552" s="4" t="s">
        <v>571</v>
      </c>
      <c r="C552" s="4" t="s">
        <v>11</v>
      </c>
      <c r="D552" s="4" t="s">
        <v>12</v>
      </c>
      <c r="E552" s="4" t="s">
        <v>22</v>
      </c>
      <c r="F552" s="4" t="s">
        <v>17</v>
      </c>
      <c r="G552" s="4">
        <v>49800</v>
      </c>
      <c r="H552" s="4">
        <v>0</v>
      </c>
      <c r="I552" s="13">
        <v>487500</v>
      </c>
      <c r="J552" s="4">
        <v>60</v>
      </c>
      <c r="K552" s="4">
        <v>1</v>
      </c>
      <c r="L552" s="4" t="s">
        <v>27</v>
      </c>
      <c r="M552" s="4" t="s">
        <v>15</v>
      </c>
      <c r="N552" s="4" t="s">
        <v>623</v>
      </c>
      <c r="O552" s="4" t="s">
        <v>625</v>
      </c>
      <c r="P552" s="5">
        <v>0.18</v>
      </c>
      <c r="Q552" s="14">
        <f>PMT($Y$51/12,$Y$54,-$Y$50)</f>
        <v>12379.295870715678</v>
      </c>
      <c r="R552" s="4">
        <v>450000</v>
      </c>
      <c r="S552" s="2" t="s">
        <v>12</v>
      </c>
    </row>
    <row r="553" spans="1:19" x14ac:dyDescent="0.3">
      <c r="A553" s="4">
        <v>552</v>
      </c>
      <c r="B553" s="4" t="s">
        <v>572</v>
      </c>
      <c r="C553" s="4" t="s">
        <v>11</v>
      </c>
      <c r="D553" s="4" t="s">
        <v>17</v>
      </c>
      <c r="E553" s="4" t="s">
        <v>13</v>
      </c>
      <c r="F553" s="4" t="s">
        <v>12</v>
      </c>
      <c r="G553" s="4">
        <v>58799</v>
      </c>
      <c r="H553" s="4">
        <v>26870</v>
      </c>
      <c r="I553" s="13">
        <v>875644</v>
      </c>
      <c r="J553" s="4">
        <v>60</v>
      </c>
      <c r="K553" s="4">
        <v>0</v>
      </c>
      <c r="L553" s="4" t="s">
        <v>14</v>
      </c>
      <c r="M553" s="4" t="s">
        <v>19</v>
      </c>
      <c r="N553" s="4" t="s">
        <v>623</v>
      </c>
      <c r="O553" s="4" t="s">
        <v>625</v>
      </c>
      <c r="P553" s="5">
        <v>0.18</v>
      </c>
      <c r="Q553" s="14">
        <f>PMT($V$57/12,$V$60,-$V$56)</f>
        <v>22235.602365983505</v>
      </c>
      <c r="R553" s="4">
        <v>765000</v>
      </c>
      <c r="S553" s="2" t="s">
        <v>12</v>
      </c>
    </row>
    <row r="554" spans="1:19" x14ac:dyDescent="0.3">
      <c r="A554" s="4">
        <v>553</v>
      </c>
      <c r="B554" s="4" t="s">
        <v>573</v>
      </c>
      <c r="C554" s="4" t="s">
        <v>11</v>
      </c>
      <c r="D554" s="4" t="s">
        <v>17</v>
      </c>
      <c r="E554" s="4" t="s">
        <v>22</v>
      </c>
      <c r="F554" s="4" t="s">
        <v>12</v>
      </c>
      <c r="G554" s="4">
        <v>48799</v>
      </c>
      <c r="H554" s="4">
        <v>34690</v>
      </c>
      <c r="I554" s="13">
        <v>654420</v>
      </c>
      <c r="J554" s="4">
        <v>60</v>
      </c>
      <c r="K554" s="4">
        <v>0</v>
      </c>
      <c r="L554" s="4" t="s">
        <v>18</v>
      </c>
      <c r="M554" s="4" t="s">
        <v>15</v>
      </c>
      <c r="N554" s="4" t="s">
        <v>623</v>
      </c>
      <c r="O554" s="4" t="s">
        <v>625</v>
      </c>
      <c r="P554" s="5">
        <v>0.18</v>
      </c>
      <c r="Q554" s="14">
        <f>PMT($Y$57/12,$Y$60,-$Y$56)</f>
        <v>16617.966776848727</v>
      </c>
      <c r="R554" s="4">
        <v>765000</v>
      </c>
      <c r="S554" s="2" t="s">
        <v>12</v>
      </c>
    </row>
    <row r="555" spans="1:19" x14ac:dyDescent="0.3">
      <c r="A555" s="4">
        <v>554</v>
      </c>
      <c r="B555" s="4" t="s">
        <v>574</v>
      </c>
      <c r="C555" s="4" t="s">
        <v>11</v>
      </c>
      <c r="D555" s="4" t="s">
        <v>12</v>
      </c>
      <c r="E555" s="4" t="s">
        <v>13</v>
      </c>
      <c r="F555" s="4" t="s">
        <v>12</v>
      </c>
      <c r="G555" s="4">
        <v>35000</v>
      </c>
      <c r="H555" s="4">
        <v>48700</v>
      </c>
      <c r="I555" s="13">
        <v>800000</v>
      </c>
      <c r="J555" s="4">
        <v>60</v>
      </c>
      <c r="K555" s="4">
        <v>1</v>
      </c>
      <c r="L555" s="4" t="s">
        <v>14</v>
      </c>
      <c r="M555" s="4" t="s">
        <v>15</v>
      </c>
      <c r="N555" s="4" t="s">
        <v>623</v>
      </c>
      <c r="O555" s="4" t="s">
        <v>625</v>
      </c>
      <c r="P555" s="5">
        <v>0.18</v>
      </c>
      <c r="Q555" s="14">
        <f>PMT($V$33/12,$V$36,-$V$32)</f>
        <v>20314.741941687265</v>
      </c>
      <c r="R555" s="4">
        <v>698000</v>
      </c>
      <c r="S555" s="2" t="s">
        <v>12</v>
      </c>
    </row>
    <row r="556" spans="1:19" x14ac:dyDescent="0.3">
      <c r="A556" s="4">
        <v>555</v>
      </c>
      <c r="B556" s="4" t="s">
        <v>575</v>
      </c>
      <c r="C556" s="4" t="s">
        <v>11</v>
      </c>
      <c r="D556" s="4" t="s">
        <v>17</v>
      </c>
      <c r="E556" s="4" t="s">
        <v>13</v>
      </c>
      <c r="F556" s="4" t="s">
        <v>12</v>
      </c>
      <c r="G556" s="4">
        <v>35000</v>
      </c>
      <c r="H556" s="4">
        <v>0</v>
      </c>
      <c r="I556" s="13">
        <v>620000</v>
      </c>
      <c r="J556" s="4">
        <v>60</v>
      </c>
      <c r="K556" s="4">
        <v>0</v>
      </c>
      <c r="L556" s="4" t="s">
        <v>18</v>
      </c>
      <c r="M556" s="4" t="s">
        <v>19</v>
      </c>
      <c r="N556" s="4" t="s">
        <v>623</v>
      </c>
      <c r="O556" s="4" t="s">
        <v>625</v>
      </c>
      <c r="P556" s="5">
        <v>0.18</v>
      </c>
      <c r="Q556" s="14">
        <f>PMT($AB$15/12,$AB$18,-$AB$14)</f>
        <v>15743.925004807632</v>
      </c>
      <c r="R556" s="4">
        <v>354100</v>
      </c>
      <c r="S556" s="2" t="s">
        <v>17</v>
      </c>
    </row>
    <row r="557" spans="1:19" x14ac:dyDescent="0.3">
      <c r="A557" s="4">
        <v>556</v>
      </c>
      <c r="B557" s="4" t="s">
        <v>576</v>
      </c>
      <c r="C557" s="4" t="s">
        <v>38</v>
      </c>
      <c r="D557" s="4" t="s">
        <v>12</v>
      </c>
      <c r="E557" s="4" t="s">
        <v>13</v>
      </c>
      <c r="F557" s="4" t="s">
        <v>12</v>
      </c>
      <c r="G557" s="4">
        <v>21654</v>
      </c>
      <c r="H557" s="4">
        <v>14620</v>
      </c>
      <c r="I557" s="13">
        <v>489300</v>
      </c>
      <c r="J557" s="4">
        <v>60</v>
      </c>
      <c r="K557" s="4">
        <v>1</v>
      </c>
      <c r="L557" s="4" t="s">
        <v>14</v>
      </c>
      <c r="M557" s="4" t="s">
        <v>19</v>
      </c>
      <c r="N557" s="4" t="s">
        <v>623</v>
      </c>
      <c r="O557" s="4" t="s">
        <v>625</v>
      </c>
      <c r="P557" s="5">
        <v>0.18</v>
      </c>
      <c r="Q557" s="14">
        <f>PMT($AB$57/12,$AB$60,-$AB$56)</f>
        <v>12425.004040084474</v>
      </c>
      <c r="R557" s="4" t="s">
        <v>635</v>
      </c>
      <c r="S557" s="2" t="s">
        <v>12</v>
      </c>
    </row>
    <row r="558" spans="1:19" x14ac:dyDescent="0.3">
      <c r="A558" s="4">
        <v>557</v>
      </c>
      <c r="B558" s="4" t="s">
        <v>577</v>
      </c>
      <c r="C558" s="4" t="s">
        <v>11</v>
      </c>
      <c r="D558" s="4" t="s">
        <v>17</v>
      </c>
      <c r="E558" s="4" t="s">
        <v>13</v>
      </c>
      <c r="F558" s="4" t="s">
        <v>12</v>
      </c>
      <c r="G558" s="4">
        <v>25000</v>
      </c>
      <c r="H558" s="4">
        <v>0</v>
      </c>
      <c r="I558" s="13">
        <v>500000</v>
      </c>
      <c r="J558" s="4">
        <v>60</v>
      </c>
      <c r="K558" s="4">
        <v>0</v>
      </c>
      <c r="L558" s="4" t="s">
        <v>14</v>
      </c>
      <c r="M558" s="4" t="s">
        <v>19</v>
      </c>
      <c r="N558" s="4" t="s">
        <v>623</v>
      </c>
      <c r="O558" s="4" t="s">
        <v>625</v>
      </c>
      <c r="P558" s="5">
        <v>0.18</v>
      </c>
      <c r="Q558" s="14">
        <f>PMT($V$15/12,$V$18,-$V$14)</f>
        <v>12696.713713554542</v>
      </c>
      <c r="R558" s="4" t="s">
        <v>635</v>
      </c>
      <c r="S558" s="2" t="s">
        <v>12</v>
      </c>
    </row>
    <row r="559" spans="1:19" x14ac:dyDescent="0.3">
      <c r="A559" s="4">
        <v>558</v>
      </c>
      <c r="B559" s="4" t="s">
        <v>578</v>
      </c>
      <c r="C559" s="4" t="s">
        <v>11</v>
      </c>
      <c r="D559" s="4" t="s">
        <v>17</v>
      </c>
      <c r="E559" s="4" t="s">
        <v>13</v>
      </c>
      <c r="F559" s="4" t="s">
        <v>12</v>
      </c>
      <c r="G559" s="4">
        <v>35700</v>
      </c>
      <c r="H559" s="4">
        <v>0</v>
      </c>
      <c r="I559" s="13">
        <v>478000</v>
      </c>
      <c r="J559" s="4">
        <v>60</v>
      </c>
      <c r="K559" s="4">
        <v>1</v>
      </c>
      <c r="L559" s="4" t="s">
        <v>14</v>
      </c>
      <c r="M559" s="4" t="s">
        <v>15</v>
      </c>
      <c r="N559" s="4" t="s">
        <v>623</v>
      </c>
      <c r="O559" s="4" t="s">
        <v>625</v>
      </c>
      <c r="P559" s="5">
        <v>0.18</v>
      </c>
      <c r="Q559" s="14">
        <f>PMT($V$63/12,$V$66,-$V$62)</f>
        <v>12138.058310158141</v>
      </c>
      <c r="R559" s="4">
        <v>356000</v>
      </c>
      <c r="S559" s="2" t="s">
        <v>12</v>
      </c>
    </row>
    <row r="560" spans="1:19" x14ac:dyDescent="0.3">
      <c r="A560" s="4">
        <v>559</v>
      </c>
      <c r="B560" s="4" t="s">
        <v>579</v>
      </c>
      <c r="C560" s="4" t="s">
        <v>11</v>
      </c>
      <c r="D560" s="4" t="s">
        <v>17</v>
      </c>
      <c r="E560" s="4" t="s">
        <v>13</v>
      </c>
      <c r="F560" s="4" t="s">
        <v>12</v>
      </c>
      <c r="G560" s="4">
        <v>48550</v>
      </c>
      <c r="H560" s="4">
        <v>54800</v>
      </c>
      <c r="I560" s="13">
        <v>748890</v>
      </c>
      <c r="J560" s="4">
        <v>60</v>
      </c>
      <c r="K560" s="4">
        <v>0</v>
      </c>
      <c r="L560" s="4" t="s">
        <v>14</v>
      </c>
      <c r="M560" s="4" t="s">
        <v>19</v>
      </c>
      <c r="N560" s="4" t="s">
        <v>623</v>
      </c>
      <c r="O560" s="4" t="s">
        <v>625</v>
      </c>
      <c r="P560" s="5">
        <v>0.18</v>
      </c>
      <c r="Q560" s="14">
        <f>PMT($Y$63/12,$Y$66,-$Y$62)</f>
        <v>19016.883865887721</v>
      </c>
      <c r="R560" s="4">
        <v>459000</v>
      </c>
      <c r="S560" s="2" t="s">
        <v>12</v>
      </c>
    </row>
    <row r="561" spans="1:19" x14ac:dyDescent="0.3">
      <c r="A561" s="4">
        <v>560</v>
      </c>
      <c r="B561" s="4" t="s">
        <v>580</v>
      </c>
      <c r="C561" s="4" t="s">
        <v>11</v>
      </c>
      <c r="D561" s="4" t="s">
        <v>17</v>
      </c>
      <c r="E561" s="4" t="s">
        <v>13</v>
      </c>
      <c r="F561" s="4" t="s">
        <v>12</v>
      </c>
      <c r="G561" s="4">
        <v>150000</v>
      </c>
      <c r="H561" s="4">
        <v>0</v>
      </c>
      <c r="I561" s="13">
        <v>1500000</v>
      </c>
      <c r="J561" s="4">
        <v>60</v>
      </c>
      <c r="K561" s="4">
        <v>1</v>
      </c>
      <c r="L561" s="4" t="s">
        <v>14</v>
      </c>
      <c r="M561" s="4" t="s">
        <v>15</v>
      </c>
      <c r="N561" s="4" t="s">
        <v>623</v>
      </c>
      <c r="O561" s="4" t="s">
        <v>625</v>
      </c>
      <c r="P561" s="5">
        <v>0.18</v>
      </c>
      <c r="Q561" s="14">
        <f>PMT($V$9/12,$V$12,-$V$8)</f>
        <v>38090.141140663625</v>
      </c>
      <c r="R561" s="4">
        <v>900000</v>
      </c>
      <c r="S561" s="2" t="s">
        <v>12</v>
      </c>
    </row>
    <row r="562" spans="1:19" x14ac:dyDescent="0.3">
      <c r="A562" s="4">
        <v>561</v>
      </c>
      <c r="B562" s="4" t="s">
        <v>581</v>
      </c>
      <c r="C562" s="4" t="s">
        <v>11</v>
      </c>
      <c r="D562" s="4" t="s">
        <v>17</v>
      </c>
      <c r="E562" s="4" t="s">
        <v>22</v>
      </c>
      <c r="F562" s="4" t="s">
        <v>12</v>
      </c>
      <c r="G562" s="4">
        <v>50000</v>
      </c>
      <c r="H562" s="4">
        <v>0</v>
      </c>
      <c r="I562" s="13">
        <v>1000000</v>
      </c>
      <c r="J562" s="4">
        <v>60</v>
      </c>
      <c r="K562" s="4">
        <v>1</v>
      </c>
      <c r="L562" s="4" t="s">
        <v>27</v>
      </c>
      <c r="M562" s="4" t="s">
        <v>19</v>
      </c>
      <c r="N562" s="4" t="s">
        <v>623</v>
      </c>
      <c r="O562" s="4" t="s">
        <v>625</v>
      </c>
      <c r="P562" s="5">
        <v>0.18</v>
      </c>
      <c r="Q562" s="14">
        <f>PMT($V$3/12,$V$6,-$V$2)</f>
        <v>25393.427427109084</v>
      </c>
      <c r="R562" s="4">
        <v>555000</v>
      </c>
      <c r="S562" s="2" t="s">
        <v>12</v>
      </c>
    </row>
    <row r="563" spans="1:19" x14ac:dyDescent="0.3">
      <c r="A563" s="4">
        <v>562</v>
      </c>
      <c r="B563" s="4" t="s">
        <v>582</v>
      </c>
      <c r="C563" s="4" t="s">
        <v>11</v>
      </c>
      <c r="D563" s="4" t="s">
        <v>17</v>
      </c>
      <c r="E563" s="4" t="s">
        <v>13</v>
      </c>
      <c r="F563" s="4" t="s">
        <v>12</v>
      </c>
      <c r="G563" s="4">
        <v>100000</v>
      </c>
      <c r="H563" s="4">
        <v>35000</v>
      </c>
      <c r="I563" s="13">
        <v>1500000</v>
      </c>
      <c r="J563" s="4">
        <v>60</v>
      </c>
      <c r="K563" s="4">
        <v>1</v>
      </c>
      <c r="L563" s="4" t="s">
        <v>27</v>
      </c>
      <c r="M563" s="4" t="s">
        <v>19</v>
      </c>
      <c r="N563" s="4" t="s">
        <v>623</v>
      </c>
      <c r="O563" s="4" t="s">
        <v>625</v>
      </c>
      <c r="P563" s="5">
        <v>0.18</v>
      </c>
      <c r="Q563" s="14">
        <f t="shared" ref="Q563:Q564" si="53">PMT($V$9/12,$V$12,-$V$8)</f>
        <v>38090.141140663625</v>
      </c>
      <c r="R563" s="4">
        <v>865000</v>
      </c>
      <c r="S563" s="2" t="s">
        <v>12</v>
      </c>
    </row>
    <row r="564" spans="1:19" x14ac:dyDescent="0.3">
      <c r="A564" s="4">
        <v>563</v>
      </c>
      <c r="B564" s="4" t="s">
        <v>583</v>
      </c>
      <c r="C564" s="4" t="s">
        <v>11</v>
      </c>
      <c r="D564" s="4" t="s">
        <v>17</v>
      </c>
      <c r="E564" s="4" t="s">
        <v>13</v>
      </c>
      <c r="F564" s="4" t="s">
        <v>12</v>
      </c>
      <c r="G564" s="4">
        <v>80000</v>
      </c>
      <c r="H564" s="4">
        <v>0</v>
      </c>
      <c r="I564" s="13">
        <v>1500000</v>
      </c>
      <c r="J564" s="4">
        <v>60</v>
      </c>
      <c r="K564" s="4">
        <v>1</v>
      </c>
      <c r="L564" s="4" t="s">
        <v>14</v>
      </c>
      <c r="M564" s="4" t="s">
        <v>15</v>
      </c>
      <c r="N564" s="4" t="s">
        <v>623</v>
      </c>
      <c r="O564" s="4" t="s">
        <v>625</v>
      </c>
      <c r="P564" s="5">
        <v>0.18</v>
      </c>
      <c r="Q564" s="14">
        <f t="shared" si="53"/>
        <v>38090.141140663625</v>
      </c>
      <c r="R564" s="4">
        <v>655000</v>
      </c>
      <c r="S564" s="2" t="s">
        <v>12</v>
      </c>
    </row>
    <row r="565" spans="1:19" x14ac:dyDescent="0.3">
      <c r="A565" s="4">
        <v>564</v>
      </c>
      <c r="B565" s="4" t="s">
        <v>584</v>
      </c>
      <c r="C565" s="4" t="s">
        <v>11</v>
      </c>
      <c r="D565" s="4" t="s">
        <v>12</v>
      </c>
      <c r="E565" s="4" t="s">
        <v>13</v>
      </c>
      <c r="F565" s="4" t="s">
        <v>12</v>
      </c>
      <c r="G565" s="4">
        <v>50000</v>
      </c>
      <c r="H565" s="4">
        <v>0</v>
      </c>
      <c r="I565" s="13">
        <v>500000</v>
      </c>
      <c r="J565" s="4">
        <v>60</v>
      </c>
      <c r="K565" s="4">
        <v>1</v>
      </c>
      <c r="L565" s="4" t="s">
        <v>14</v>
      </c>
      <c r="M565" s="4" t="s">
        <v>15</v>
      </c>
      <c r="N565" s="4" t="s">
        <v>623</v>
      </c>
      <c r="O565" s="4" t="s">
        <v>625</v>
      </c>
      <c r="P565" s="5">
        <v>0.18</v>
      </c>
      <c r="Q565" s="14">
        <f>PMT($V$15/12,$V$18,-$V$14)</f>
        <v>12696.713713554542</v>
      </c>
      <c r="R565" s="4">
        <v>457100</v>
      </c>
      <c r="S565" s="2" t="s">
        <v>12</v>
      </c>
    </row>
    <row r="566" spans="1:19" x14ac:dyDescent="0.3">
      <c r="A566" s="4">
        <v>565</v>
      </c>
      <c r="B566" s="4" t="s">
        <v>585</v>
      </c>
      <c r="C566" s="4" t="s">
        <v>11</v>
      </c>
      <c r="D566" s="4" t="s">
        <v>17</v>
      </c>
      <c r="E566" s="4" t="s">
        <v>13</v>
      </c>
      <c r="F566" s="4" t="s">
        <v>12</v>
      </c>
      <c r="G566" s="4">
        <v>200000</v>
      </c>
      <c r="H566" s="4">
        <v>50000</v>
      </c>
      <c r="I566" s="13">
        <v>3000000</v>
      </c>
      <c r="J566" s="4">
        <v>60</v>
      </c>
      <c r="K566" s="4">
        <v>1</v>
      </c>
      <c r="L566" s="4" t="s">
        <v>18</v>
      </c>
      <c r="M566" s="4" t="s">
        <v>15</v>
      </c>
      <c r="N566" s="4" t="s">
        <v>623</v>
      </c>
      <c r="O566" s="4" t="s">
        <v>625</v>
      </c>
      <c r="P566" s="5">
        <v>0.18</v>
      </c>
      <c r="Q566" s="14">
        <f>PMT($Y$81/12,$Y$84,-$Y$80)</f>
        <v>76180.282281327251</v>
      </c>
      <c r="R566" s="4">
        <v>1500000</v>
      </c>
      <c r="S566" s="2" t="s">
        <v>12</v>
      </c>
    </row>
    <row r="567" spans="1:19" x14ac:dyDescent="0.3">
      <c r="A567" s="4">
        <v>566</v>
      </c>
      <c r="B567" s="4" t="s">
        <v>586</v>
      </c>
      <c r="C567" s="4" t="s">
        <v>11</v>
      </c>
      <c r="D567" s="4" t="s">
        <v>12</v>
      </c>
      <c r="E567" s="4" t="s">
        <v>13</v>
      </c>
      <c r="F567" s="4" t="s">
        <v>17</v>
      </c>
      <c r="G567" s="4">
        <v>75000</v>
      </c>
      <c r="H567" s="4">
        <v>25000</v>
      </c>
      <c r="I567" s="13">
        <v>1000000</v>
      </c>
      <c r="J567" s="4">
        <v>60</v>
      </c>
      <c r="K567" s="4">
        <v>1</v>
      </c>
      <c r="L567" s="4" t="s">
        <v>14</v>
      </c>
      <c r="M567" s="4" t="s">
        <v>15</v>
      </c>
      <c r="N567" s="4" t="s">
        <v>623</v>
      </c>
      <c r="O567" s="4" t="s">
        <v>625</v>
      </c>
      <c r="P567" s="5">
        <v>0.18</v>
      </c>
      <c r="Q567" s="14">
        <f>PMT($V$3/12,$V$6,-$V$2)</f>
        <v>25393.427427109084</v>
      </c>
      <c r="R567" s="4">
        <v>685000</v>
      </c>
      <c r="S567" s="2" t="s">
        <v>12</v>
      </c>
    </row>
    <row r="568" spans="1:19" x14ac:dyDescent="0.3">
      <c r="A568" s="4">
        <v>567</v>
      </c>
      <c r="B568" s="4" t="s">
        <v>587</v>
      </c>
      <c r="C568" s="4" t="s">
        <v>11</v>
      </c>
      <c r="D568" s="4" t="s">
        <v>17</v>
      </c>
      <c r="E568" s="4" t="s">
        <v>13</v>
      </c>
      <c r="F568" s="4" t="s">
        <v>12</v>
      </c>
      <c r="G568" s="4">
        <v>50000</v>
      </c>
      <c r="H568" s="4">
        <v>35000</v>
      </c>
      <c r="I568" s="13">
        <v>1500000</v>
      </c>
      <c r="J568" s="4">
        <v>60</v>
      </c>
      <c r="K568" s="4">
        <v>1</v>
      </c>
      <c r="L568" s="4" t="s">
        <v>27</v>
      </c>
      <c r="M568" s="4" t="s">
        <v>15</v>
      </c>
      <c r="N568" s="4" t="s">
        <v>623</v>
      </c>
      <c r="O568" s="4" t="s">
        <v>625</v>
      </c>
      <c r="P568" s="5">
        <v>0.18</v>
      </c>
      <c r="Q568" s="14">
        <f>PMT($V$9/12,$V$12,-$V$8)</f>
        <v>38090.141140663625</v>
      </c>
      <c r="R568" s="4">
        <v>765000</v>
      </c>
      <c r="S568" s="2" t="s">
        <v>12</v>
      </c>
    </row>
    <row r="569" spans="1:19" x14ac:dyDescent="0.3">
      <c r="A569" s="4">
        <v>568</v>
      </c>
      <c r="B569" s="4" t="s">
        <v>588</v>
      </c>
      <c r="C569" s="4" t="s">
        <v>11</v>
      </c>
      <c r="D569" s="4" t="s">
        <v>12</v>
      </c>
      <c r="E569" s="4" t="s">
        <v>13</v>
      </c>
      <c r="F569" s="4" t="s">
        <v>12</v>
      </c>
      <c r="G569" s="4">
        <v>85000</v>
      </c>
      <c r="H569" s="4">
        <v>0</v>
      </c>
      <c r="I569" s="13">
        <v>1000000</v>
      </c>
      <c r="J569" s="4">
        <v>60</v>
      </c>
      <c r="K569" s="4">
        <v>1</v>
      </c>
      <c r="L569" s="4" t="s">
        <v>14</v>
      </c>
      <c r="M569" s="4" t="s">
        <v>19</v>
      </c>
      <c r="N569" s="4" t="s">
        <v>623</v>
      </c>
      <c r="O569" s="4" t="s">
        <v>625</v>
      </c>
      <c r="P569" s="5">
        <v>0.18</v>
      </c>
      <c r="Q569" s="14">
        <f>PMT($V$3/12,$V$6,-$V$2)</f>
        <v>25393.427427109084</v>
      </c>
      <c r="R569" s="4">
        <v>845000</v>
      </c>
      <c r="S569" s="2" t="s">
        <v>12</v>
      </c>
    </row>
    <row r="570" spans="1:19" x14ac:dyDescent="0.3">
      <c r="A570" s="4">
        <v>569</v>
      </c>
      <c r="B570" s="4" t="s">
        <v>589</v>
      </c>
      <c r="C570" s="4" t="s">
        <v>38</v>
      </c>
      <c r="D570" s="4" t="s">
        <v>17</v>
      </c>
      <c r="E570" s="4" t="s">
        <v>13</v>
      </c>
      <c r="F570" s="4" t="s">
        <v>12</v>
      </c>
      <c r="G570" s="4">
        <v>50000</v>
      </c>
      <c r="H570" s="4">
        <v>30000</v>
      </c>
      <c r="I570" s="13">
        <v>2000000</v>
      </c>
      <c r="J570" s="4">
        <v>60</v>
      </c>
      <c r="K570" s="4">
        <v>1</v>
      </c>
      <c r="L570" s="4" t="s">
        <v>27</v>
      </c>
      <c r="M570" s="4" t="s">
        <v>15</v>
      </c>
      <c r="N570" s="4" t="s">
        <v>623</v>
      </c>
      <c r="O570" s="4" t="s">
        <v>625</v>
      </c>
      <c r="P570" s="5">
        <v>0.18</v>
      </c>
      <c r="Q570" s="14">
        <f>PMT($V$27/12,$V$30,-$V$26)</f>
        <v>50786.854854218167</v>
      </c>
      <c r="R570" s="4">
        <v>741000</v>
      </c>
      <c r="S570" s="2" t="s">
        <v>17</v>
      </c>
    </row>
    <row r="571" spans="1:19" x14ac:dyDescent="0.3">
      <c r="A571" s="4">
        <v>570</v>
      </c>
      <c r="B571" s="4" t="s">
        <v>590</v>
      </c>
      <c r="C571" s="4" t="s">
        <v>11</v>
      </c>
      <c r="D571" s="4" t="s">
        <v>17</v>
      </c>
      <c r="E571" s="4" t="s">
        <v>13</v>
      </c>
      <c r="F571" s="4" t="s">
        <v>12</v>
      </c>
      <c r="G571" s="4">
        <v>65000</v>
      </c>
      <c r="H571" s="4">
        <v>20000</v>
      </c>
      <c r="I571" s="13">
        <v>800000</v>
      </c>
      <c r="J571" s="4">
        <v>60</v>
      </c>
      <c r="K571" s="4">
        <v>0</v>
      </c>
      <c r="L571" s="4" t="s">
        <v>18</v>
      </c>
      <c r="M571" s="4" t="s">
        <v>19</v>
      </c>
      <c r="N571" s="4" t="s">
        <v>623</v>
      </c>
      <c r="O571" s="4" t="s">
        <v>625</v>
      </c>
      <c r="P571" s="5">
        <v>0.18</v>
      </c>
      <c r="Q571" s="14">
        <f>PMT($V$33/12,$V$36,-$V$32)</f>
        <v>20314.741941687265</v>
      </c>
      <c r="R571" s="4">
        <v>795000</v>
      </c>
      <c r="S571" s="2" t="s">
        <v>12</v>
      </c>
    </row>
    <row r="572" spans="1:19" x14ac:dyDescent="0.3">
      <c r="A572" s="4">
        <v>571</v>
      </c>
      <c r="B572" s="4" t="s">
        <v>591</v>
      </c>
      <c r="C572" s="4" t="s">
        <v>11</v>
      </c>
      <c r="D572" s="4" t="s">
        <v>17</v>
      </c>
      <c r="E572" s="4" t="s">
        <v>13</v>
      </c>
      <c r="F572" s="4" t="s">
        <v>12</v>
      </c>
      <c r="G572" s="4">
        <v>55000</v>
      </c>
      <c r="H572" s="4">
        <v>25000</v>
      </c>
      <c r="I572" s="13">
        <v>1000000</v>
      </c>
      <c r="J572" s="4">
        <v>60</v>
      </c>
      <c r="K572" s="4">
        <v>0</v>
      </c>
      <c r="L572" s="4" t="s">
        <v>18</v>
      </c>
      <c r="M572" s="4" t="s">
        <v>19</v>
      </c>
      <c r="N572" s="4" t="s">
        <v>623</v>
      </c>
      <c r="O572" s="4" t="s">
        <v>625</v>
      </c>
      <c r="P572" s="5">
        <v>0.18</v>
      </c>
      <c r="Q572" s="14">
        <f t="shared" ref="Q572:Q573" si="54">PMT($V$3/12,$V$6,-$V$2)</f>
        <v>25393.427427109084</v>
      </c>
      <c r="R572" s="4">
        <v>658000</v>
      </c>
      <c r="S572" s="2" t="s">
        <v>12</v>
      </c>
    </row>
    <row r="573" spans="1:19" x14ac:dyDescent="0.3">
      <c r="A573" s="4">
        <v>572</v>
      </c>
      <c r="B573" s="4" t="s">
        <v>592</v>
      </c>
      <c r="C573" s="4" t="s">
        <v>11</v>
      </c>
      <c r="D573" s="4" t="s">
        <v>17</v>
      </c>
      <c r="E573" s="4" t="s">
        <v>13</v>
      </c>
      <c r="F573" s="4" t="s">
        <v>12</v>
      </c>
      <c r="G573" s="4">
        <v>50000</v>
      </c>
      <c r="H573" s="4">
        <v>0</v>
      </c>
      <c r="I573" s="13">
        <v>1000000</v>
      </c>
      <c r="J573" s="4">
        <v>60</v>
      </c>
      <c r="K573" s="4">
        <v>1</v>
      </c>
      <c r="L573" s="4" t="s">
        <v>18</v>
      </c>
      <c r="M573" s="4" t="s">
        <v>19</v>
      </c>
      <c r="N573" s="4" t="s">
        <v>623</v>
      </c>
      <c r="O573" s="4" t="s">
        <v>625</v>
      </c>
      <c r="P573" s="5">
        <v>0.18</v>
      </c>
      <c r="Q573" s="14">
        <f t="shared" si="54"/>
        <v>25393.427427109084</v>
      </c>
      <c r="R573" s="4">
        <v>542000</v>
      </c>
      <c r="S573" s="2" t="s">
        <v>12</v>
      </c>
    </row>
    <row r="574" spans="1:19" x14ac:dyDescent="0.3">
      <c r="A574" s="4">
        <v>573</v>
      </c>
      <c r="B574" s="4" t="s">
        <v>593</v>
      </c>
      <c r="C574" s="4" t="s">
        <v>11</v>
      </c>
      <c r="D574" s="4" t="s">
        <v>17</v>
      </c>
      <c r="E574" s="4" t="s">
        <v>13</v>
      </c>
      <c r="F574" s="4" t="s">
        <v>12</v>
      </c>
      <c r="G574" s="4">
        <v>100000</v>
      </c>
      <c r="H574" s="4">
        <v>35000</v>
      </c>
      <c r="I574" s="13">
        <v>1500000</v>
      </c>
      <c r="J574" s="4">
        <v>60</v>
      </c>
      <c r="K574" s="4">
        <v>1</v>
      </c>
      <c r="L574" s="4" t="s">
        <v>14</v>
      </c>
      <c r="M574" s="4" t="s">
        <v>15</v>
      </c>
      <c r="N574" s="4" t="s">
        <v>623</v>
      </c>
      <c r="O574" s="4" t="s">
        <v>625</v>
      </c>
      <c r="P574" s="5">
        <v>0.18</v>
      </c>
      <c r="Q574" s="14">
        <f>PMT($V$9/12,$V$12,-$V$8)</f>
        <v>38090.141140663625</v>
      </c>
      <c r="R574" s="4">
        <v>1000000</v>
      </c>
      <c r="S574" s="2" t="s">
        <v>12</v>
      </c>
    </row>
    <row r="575" spans="1:19" x14ac:dyDescent="0.3">
      <c r="A575" s="4">
        <v>574</v>
      </c>
      <c r="B575" s="4" t="s">
        <v>594</v>
      </c>
      <c r="C575" s="4" t="s">
        <v>38</v>
      </c>
      <c r="D575" s="4" t="s">
        <v>12</v>
      </c>
      <c r="E575" s="4" t="s">
        <v>22</v>
      </c>
      <c r="F575" s="4" t="s">
        <v>12</v>
      </c>
      <c r="G575" s="4">
        <v>24601</v>
      </c>
      <c r="H575" s="4">
        <v>0</v>
      </c>
      <c r="I575" s="13">
        <v>423601</v>
      </c>
      <c r="J575" s="4">
        <v>60</v>
      </c>
      <c r="K575" s="4">
        <v>1</v>
      </c>
      <c r="L575" s="4" t="s">
        <v>27</v>
      </c>
      <c r="M575" s="4" t="s">
        <v>15</v>
      </c>
      <c r="N575" s="4" t="s">
        <v>623</v>
      </c>
      <c r="O575" s="4" t="s">
        <v>625</v>
      </c>
      <c r="P575" s="5">
        <v>0.18</v>
      </c>
      <c r="Q575" s="14">
        <f>PMT($AB$39/12,$AB$42,-$AB$38)</f>
        <v>10756.681251550835</v>
      </c>
      <c r="R575" s="4" t="s">
        <v>635</v>
      </c>
      <c r="S575" s="2" t="s">
        <v>17</v>
      </c>
    </row>
    <row r="576" spans="1:19" x14ac:dyDescent="0.3">
      <c r="A576" s="4">
        <v>575</v>
      </c>
      <c r="B576" s="4" t="s">
        <v>595</v>
      </c>
      <c r="C576" s="4" t="s">
        <v>11</v>
      </c>
      <c r="D576" s="4" t="s">
        <v>17</v>
      </c>
      <c r="E576" s="4" t="s">
        <v>13</v>
      </c>
      <c r="F576" s="4" t="s">
        <v>17</v>
      </c>
      <c r="G576" s="4">
        <v>75000</v>
      </c>
      <c r="H576" s="4">
        <v>0</v>
      </c>
      <c r="I576" s="13">
        <v>358000</v>
      </c>
      <c r="J576" s="4">
        <v>60</v>
      </c>
      <c r="K576" s="4">
        <v>0</v>
      </c>
      <c r="L576" s="4" t="s">
        <v>27</v>
      </c>
      <c r="M576" s="4" t="s">
        <v>19</v>
      </c>
      <c r="N576" s="4" t="s">
        <v>623</v>
      </c>
      <c r="O576" s="4" t="s">
        <v>625</v>
      </c>
      <c r="P576" s="5">
        <v>0.18</v>
      </c>
      <c r="Q576" s="14">
        <f>PMT($AB$45/12,$AB$48,-$AB$44)</f>
        <v>9090.8470189050531</v>
      </c>
      <c r="R576" s="4">
        <v>745000</v>
      </c>
      <c r="S576" s="2" t="s">
        <v>12</v>
      </c>
    </row>
    <row r="577" spans="1:19" x14ac:dyDescent="0.3">
      <c r="A577" s="4">
        <v>576</v>
      </c>
      <c r="B577" s="4" t="s">
        <v>596</v>
      </c>
      <c r="C577" s="4" t="s">
        <v>11</v>
      </c>
      <c r="D577" s="4" t="s">
        <v>17</v>
      </c>
      <c r="E577" s="4" t="s">
        <v>13</v>
      </c>
      <c r="F577" s="4" t="s">
        <v>12</v>
      </c>
      <c r="G577" s="4">
        <v>69700</v>
      </c>
      <c r="H577" s="4">
        <v>0</v>
      </c>
      <c r="I577" s="13">
        <v>587000</v>
      </c>
      <c r="J577" s="4">
        <v>60</v>
      </c>
      <c r="K577" s="4">
        <v>1</v>
      </c>
      <c r="L577" s="4" t="s">
        <v>27</v>
      </c>
      <c r="M577" s="4" t="s">
        <v>15</v>
      </c>
      <c r="N577" s="4" t="s">
        <v>623</v>
      </c>
      <c r="O577" s="4" t="s">
        <v>625</v>
      </c>
      <c r="P577" s="5">
        <v>0.18</v>
      </c>
      <c r="Q577" s="14">
        <f>PMT($AB$51/12,$AB$54,-$AB$50)</f>
        <v>14905.941899713032</v>
      </c>
      <c r="R577" s="4">
        <v>785000</v>
      </c>
      <c r="S577" s="2" t="s">
        <v>12</v>
      </c>
    </row>
    <row r="578" spans="1:19" x14ac:dyDescent="0.3">
      <c r="A578" s="4">
        <v>577</v>
      </c>
      <c r="B578" s="4" t="s">
        <v>597</v>
      </c>
      <c r="C578" s="4" t="s">
        <v>11</v>
      </c>
      <c r="D578" s="4" t="s">
        <v>17</v>
      </c>
      <c r="E578" s="4" t="s">
        <v>13</v>
      </c>
      <c r="F578" s="4" t="s">
        <v>17</v>
      </c>
      <c r="G578" s="4">
        <v>52400</v>
      </c>
      <c r="H578" s="4">
        <v>48733</v>
      </c>
      <c r="I578" s="13">
        <v>789000</v>
      </c>
      <c r="J578" s="4">
        <v>60</v>
      </c>
      <c r="K578" s="4">
        <v>1</v>
      </c>
      <c r="L578" s="4" t="s">
        <v>27</v>
      </c>
      <c r="M578" s="4" t="s">
        <v>19</v>
      </c>
      <c r="N578" s="4" t="s">
        <v>623</v>
      </c>
      <c r="O578" s="4" t="s">
        <v>625</v>
      </c>
      <c r="P578" s="5">
        <v>0.18</v>
      </c>
      <c r="Q578" s="14">
        <f>PMT($V$45/12,$V$48,-$V$44)</f>
        <v>20035.414239989066</v>
      </c>
      <c r="R578" s="4">
        <v>865800</v>
      </c>
      <c r="S578" s="2" t="s">
        <v>12</v>
      </c>
    </row>
    <row r="579" spans="1:19" x14ac:dyDescent="0.3">
      <c r="A579" s="4">
        <v>578</v>
      </c>
      <c r="B579" s="4" t="s">
        <v>598</v>
      </c>
      <c r="C579" s="4" t="s">
        <v>11</v>
      </c>
      <c r="D579" s="4" t="s">
        <v>17</v>
      </c>
      <c r="E579" s="4" t="s">
        <v>13</v>
      </c>
      <c r="F579" s="4" t="s">
        <v>12</v>
      </c>
      <c r="G579" s="4">
        <v>47860</v>
      </c>
      <c r="H579" s="4">
        <v>24970</v>
      </c>
      <c r="I579" s="13">
        <v>975000</v>
      </c>
      <c r="J579" s="4">
        <v>60</v>
      </c>
      <c r="K579" s="4">
        <v>1</v>
      </c>
      <c r="L579" s="4" t="s">
        <v>18</v>
      </c>
      <c r="M579" s="4" t="s">
        <v>15</v>
      </c>
      <c r="N579" s="4" t="s">
        <v>623</v>
      </c>
      <c r="O579" s="4" t="s">
        <v>625</v>
      </c>
      <c r="P579" s="5">
        <v>0.18</v>
      </c>
      <c r="Q579" s="14">
        <f>PMT($Y$45/12,$Y$48,-$Y$44)</f>
        <v>24758.591741431355</v>
      </c>
      <c r="R579" s="4">
        <v>652000</v>
      </c>
      <c r="S579" s="2" t="s">
        <v>12</v>
      </c>
    </row>
    <row r="580" spans="1:19" x14ac:dyDescent="0.3">
      <c r="A580" s="4">
        <v>579</v>
      </c>
      <c r="B580" s="4" t="s">
        <v>599</v>
      </c>
      <c r="C580" s="4" t="s">
        <v>11</v>
      </c>
      <c r="D580" s="4" t="s">
        <v>17</v>
      </c>
      <c r="E580" s="4" t="s">
        <v>13</v>
      </c>
      <c r="F580" s="4" t="s">
        <v>17</v>
      </c>
      <c r="G580" s="4">
        <v>56980</v>
      </c>
      <c r="H580" s="4">
        <v>25600</v>
      </c>
      <c r="I580" s="13">
        <v>849300</v>
      </c>
      <c r="J580" s="4">
        <v>60</v>
      </c>
      <c r="K580" s="4">
        <v>1</v>
      </c>
      <c r="L580" s="4" t="s">
        <v>14</v>
      </c>
      <c r="M580" s="4" t="s">
        <v>15</v>
      </c>
      <c r="N580" s="4" t="s">
        <v>623</v>
      </c>
      <c r="O580" s="4" t="s">
        <v>625</v>
      </c>
      <c r="P580" s="5">
        <v>0.18</v>
      </c>
      <c r="Q580" s="14">
        <f>PMT($V$51/12,$V$54,-$V$50)</f>
        <v>21566.637913843744</v>
      </c>
      <c r="R580" s="4">
        <v>689000</v>
      </c>
      <c r="S580" s="2" t="s">
        <v>12</v>
      </c>
    </row>
    <row r="581" spans="1:19" x14ac:dyDescent="0.3">
      <c r="A581" s="4">
        <v>580</v>
      </c>
      <c r="B581" s="4" t="s">
        <v>600</v>
      </c>
      <c r="C581" s="4" t="s">
        <v>11</v>
      </c>
      <c r="D581" s="4" t="s">
        <v>12</v>
      </c>
      <c r="E581" s="4" t="s">
        <v>22</v>
      </c>
      <c r="F581" s="4" t="s">
        <v>12</v>
      </c>
      <c r="G581" s="4">
        <v>49800</v>
      </c>
      <c r="H581" s="4">
        <v>0</v>
      </c>
      <c r="I581" s="13">
        <v>487500</v>
      </c>
      <c r="J581" s="4">
        <v>60</v>
      </c>
      <c r="K581" s="4">
        <v>1</v>
      </c>
      <c r="L581" s="4" t="s">
        <v>18</v>
      </c>
      <c r="M581" s="4" t="s">
        <v>15</v>
      </c>
      <c r="N581" s="4" t="s">
        <v>623</v>
      </c>
      <c r="O581" s="4" t="s">
        <v>625</v>
      </c>
      <c r="P581" s="5">
        <v>0.18</v>
      </c>
      <c r="Q581" s="14">
        <f>PMT($Y$51/12,$Y$54,-$Y$50)</f>
        <v>12379.295870715678</v>
      </c>
      <c r="R581" s="4">
        <v>458000</v>
      </c>
      <c r="S581" s="2" t="s">
        <v>12</v>
      </c>
    </row>
    <row r="582" spans="1:19" x14ac:dyDescent="0.3">
      <c r="A582" s="4">
        <v>581</v>
      </c>
      <c r="B582" s="4" t="s">
        <v>601</v>
      </c>
      <c r="C582" s="4" t="s">
        <v>11</v>
      </c>
      <c r="D582" s="4" t="s">
        <v>17</v>
      </c>
      <c r="E582" s="4" t="s">
        <v>22</v>
      </c>
      <c r="F582" s="4" t="s">
        <v>17</v>
      </c>
      <c r="G582" s="4">
        <v>58799</v>
      </c>
      <c r="H582" s="4">
        <v>26870</v>
      </c>
      <c r="I582" s="13">
        <v>875644</v>
      </c>
      <c r="J582" s="4">
        <v>60</v>
      </c>
      <c r="K582" s="4">
        <v>1</v>
      </c>
      <c r="L582" s="4" t="s">
        <v>18</v>
      </c>
      <c r="M582" s="4" t="s">
        <v>19</v>
      </c>
      <c r="N582" s="4" t="s">
        <v>623</v>
      </c>
      <c r="O582" s="4" t="s">
        <v>625</v>
      </c>
      <c r="P582" s="5">
        <v>0.18</v>
      </c>
      <c r="Q582" s="14">
        <f>PMT($V$57/12,$V$60,-$V$56)</f>
        <v>22235.602365983505</v>
      </c>
      <c r="R582" s="4">
        <v>695000</v>
      </c>
      <c r="S582" s="2" t="s">
        <v>17</v>
      </c>
    </row>
    <row r="583" spans="1:19" x14ac:dyDescent="0.3">
      <c r="A583" s="4">
        <v>582</v>
      </c>
      <c r="B583" s="4" t="s">
        <v>602</v>
      </c>
      <c r="C583" s="4" t="s">
        <v>11</v>
      </c>
      <c r="D583" s="4" t="s">
        <v>12</v>
      </c>
      <c r="E583" s="4" t="s">
        <v>13</v>
      </c>
      <c r="F583" s="4" t="s">
        <v>12</v>
      </c>
      <c r="G583" s="4">
        <v>48799</v>
      </c>
      <c r="H583" s="4">
        <v>34690</v>
      </c>
      <c r="I583" s="13">
        <v>654420</v>
      </c>
      <c r="J583" s="4">
        <v>60</v>
      </c>
      <c r="K583" s="4">
        <v>0</v>
      </c>
      <c r="L583" s="4" t="s">
        <v>27</v>
      </c>
      <c r="M583" s="4" t="s">
        <v>19</v>
      </c>
      <c r="N583" s="4" t="s">
        <v>623</v>
      </c>
      <c r="O583" s="4" t="s">
        <v>625</v>
      </c>
      <c r="P583" s="5">
        <v>0.18</v>
      </c>
      <c r="Q583" s="14">
        <f>PMT($Y$57/12,$Y$60,-$Y$56)</f>
        <v>16617.966776848727</v>
      </c>
      <c r="R583" s="4">
        <v>589500</v>
      </c>
      <c r="S583" s="2" t="s">
        <v>17</v>
      </c>
    </row>
    <row r="584" spans="1:19" x14ac:dyDescent="0.3">
      <c r="A584" s="4">
        <v>583</v>
      </c>
      <c r="B584" s="4" t="s">
        <v>603</v>
      </c>
      <c r="C584" s="4" t="s">
        <v>11</v>
      </c>
      <c r="D584" s="4" t="s">
        <v>17</v>
      </c>
      <c r="E584" s="4" t="s">
        <v>13</v>
      </c>
      <c r="F584" s="4" t="s">
        <v>17</v>
      </c>
      <c r="G584" s="4">
        <v>35000</v>
      </c>
      <c r="H584" s="4">
        <v>48700</v>
      </c>
      <c r="I584" s="13">
        <v>800000</v>
      </c>
      <c r="J584" s="4">
        <v>60</v>
      </c>
      <c r="K584" s="4">
        <v>1</v>
      </c>
      <c r="L584" s="4" t="s">
        <v>18</v>
      </c>
      <c r="M584" s="4" t="s">
        <v>15</v>
      </c>
      <c r="N584" s="4" t="s">
        <v>623</v>
      </c>
      <c r="O584" s="4" t="s">
        <v>625</v>
      </c>
      <c r="P584" s="5">
        <v>0.18</v>
      </c>
      <c r="Q584" s="14">
        <f>PMT($V$33/12,$V$36,-$V$32)</f>
        <v>20314.741941687265</v>
      </c>
      <c r="R584" s="4">
        <v>562000</v>
      </c>
      <c r="S584" s="2" t="s">
        <v>17</v>
      </c>
    </row>
    <row r="585" spans="1:19" x14ac:dyDescent="0.3">
      <c r="A585" s="4">
        <v>584</v>
      </c>
      <c r="B585" s="4" t="s">
        <v>604</v>
      </c>
      <c r="C585" s="4" t="s">
        <v>11</v>
      </c>
      <c r="D585" s="4" t="s">
        <v>17</v>
      </c>
      <c r="E585" s="4" t="s">
        <v>13</v>
      </c>
      <c r="F585" s="4" t="s">
        <v>12</v>
      </c>
      <c r="G585" s="4">
        <v>35000</v>
      </c>
      <c r="H585" s="4">
        <v>0</v>
      </c>
      <c r="I585" s="13">
        <v>620000</v>
      </c>
      <c r="J585" s="4">
        <v>60</v>
      </c>
      <c r="K585" s="4">
        <v>1</v>
      </c>
      <c r="L585" s="4" t="s">
        <v>14</v>
      </c>
      <c r="M585" s="4" t="s">
        <v>15</v>
      </c>
      <c r="N585" s="4" t="s">
        <v>623</v>
      </c>
      <c r="O585" s="4" t="s">
        <v>625</v>
      </c>
      <c r="P585" s="5">
        <v>0.18</v>
      </c>
      <c r="Q585" s="14">
        <f>PMT($AB$15/12,$AB$18,-$AB$14)</f>
        <v>15743.925004807632</v>
      </c>
      <c r="R585" s="4">
        <v>358000</v>
      </c>
      <c r="S585" s="2" t="s">
        <v>12</v>
      </c>
    </row>
    <row r="586" spans="1:19" x14ac:dyDescent="0.3">
      <c r="A586" s="4">
        <v>585</v>
      </c>
      <c r="B586" s="4" t="s">
        <v>605</v>
      </c>
      <c r="C586" s="4" t="s">
        <v>38</v>
      </c>
      <c r="D586" s="4" t="s">
        <v>12</v>
      </c>
      <c r="E586" s="4" t="s">
        <v>13</v>
      </c>
      <c r="F586" s="4" t="s">
        <v>17</v>
      </c>
      <c r="G586" s="4">
        <v>21654</v>
      </c>
      <c r="H586" s="4">
        <v>14620</v>
      </c>
      <c r="I586" s="13">
        <v>489300</v>
      </c>
      <c r="J586" s="4">
        <v>60</v>
      </c>
      <c r="K586" s="4">
        <v>0</v>
      </c>
      <c r="L586" s="4" t="s">
        <v>14</v>
      </c>
      <c r="M586" s="4" t="s">
        <v>19</v>
      </c>
      <c r="N586" s="4" t="s">
        <v>623</v>
      </c>
      <c r="O586" s="4" t="s">
        <v>625</v>
      </c>
      <c r="P586" s="5">
        <v>0.18</v>
      </c>
      <c r="Q586" s="14">
        <f>PMT($AB$57/12,$AB$60,-$AB$56)</f>
        <v>12425.004040084474</v>
      </c>
      <c r="R586" s="4" t="s">
        <v>635</v>
      </c>
      <c r="S586" s="2" t="s">
        <v>12</v>
      </c>
    </row>
    <row r="587" spans="1:19" x14ac:dyDescent="0.3">
      <c r="A587" s="4">
        <v>586</v>
      </c>
      <c r="B587" s="4" t="s">
        <v>606</v>
      </c>
      <c r="C587" s="4" t="s">
        <v>11</v>
      </c>
      <c r="D587" s="4" t="s">
        <v>17</v>
      </c>
      <c r="E587" s="4" t="s">
        <v>22</v>
      </c>
      <c r="F587" s="4" t="s">
        <v>17</v>
      </c>
      <c r="G587" s="4">
        <v>25000</v>
      </c>
      <c r="H587" s="4">
        <v>0</v>
      </c>
      <c r="I587" s="13">
        <v>500000</v>
      </c>
      <c r="J587" s="4">
        <v>60</v>
      </c>
      <c r="K587" s="4">
        <v>1</v>
      </c>
      <c r="L587" s="4" t="s">
        <v>18</v>
      </c>
      <c r="M587" s="4" t="s">
        <v>15</v>
      </c>
      <c r="N587" s="4" t="s">
        <v>623</v>
      </c>
      <c r="O587" s="4" t="s">
        <v>625</v>
      </c>
      <c r="P587" s="5">
        <v>0.18</v>
      </c>
      <c r="Q587" s="14">
        <f>PMT($V$15/12,$V$18,-$V$14)</f>
        <v>12696.713713554542</v>
      </c>
      <c r="R587" s="4" t="s">
        <v>635</v>
      </c>
      <c r="S587" s="2" t="s">
        <v>17</v>
      </c>
    </row>
    <row r="588" spans="1:19" x14ac:dyDescent="0.3">
      <c r="A588" s="4">
        <v>587</v>
      </c>
      <c r="B588" s="4" t="s">
        <v>607</v>
      </c>
      <c r="C588" s="4" t="s">
        <v>11</v>
      </c>
      <c r="D588" s="4" t="s">
        <v>17</v>
      </c>
      <c r="E588" s="4" t="s">
        <v>13</v>
      </c>
      <c r="F588" s="4" t="s">
        <v>12</v>
      </c>
      <c r="G588" s="4">
        <v>35700</v>
      </c>
      <c r="H588" s="4">
        <v>0</v>
      </c>
      <c r="I588" s="13">
        <v>478000</v>
      </c>
      <c r="J588" s="4">
        <v>60</v>
      </c>
      <c r="K588" s="4">
        <v>1</v>
      </c>
      <c r="L588" s="4" t="s">
        <v>14</v>
      </c>
      <c r="M588" s="4" t="s">
        <v>15</v>
      </c>
      <c r="N588" s="4" t="s">
        <v>623</v>
      </c>
      <c r="O588" s="4" t="s">
        <v>625</v>
      </c>
      <c r="P588" s="5">
        <v>0.18</v>
      </c>
      <c r="Q588" s="14">
        <f>PMT($V$63/12,$V$66,-$V$62)</f>
        <v>12138.058310158141</v>
      </c>
      <c r="R588" s="4">
        <v>368500</v>
      </c>
      <c r="S588" s="2" t="s">
        <v>12</v>
      </c>
    </row>
    <row r="589" spans="1:19" x14ac:dyDescent="0.3">
      <c r="A589" s="4">
        <v>588</v>
      </c>
      <c r="B589" s="4" t="s">
        <v>608</v>
      </c>
      <c r="C589" s="4" t="s">
        <v>11</v>
      </c>
      <c r="D589" s="4" t="s">
        <v>12</v>
      </c>
      <c r="E589" s="4" t="s">
        <v>13</v>
      </c>
      <c r="F589" s="4" t="s">
        <v>12</v>
      </c>
      <c r="G589" s="4">
        <v>50000</v>
      </c>
      <c r="H589" s="4">
        <v>0</v>
      </c>
      <c r="I589" s="13">
        <v>1000000</v>
      </c>
      <c r="J589" s="4">
        <v>60</v>
      </c>
      <c r="K589" s="4">
        <v>1</v>
      </c>
      <c r="L589" s="4" t="s">
        <v>18</v>
      </c>
      <c r="M589" s="4" t="s">
        <v>15</v>
      </c>
      <c r="N589" s="4" t="s">
        <v>623</v>
      </c>
      <c r="O589" s="4" t="s">
        <v>625</v>
      </c>
      <c r="P589" s="5">
        <v>0.18</v>
      </c>
      <c r="Q589" s="14">
        <f>PMT($V$3/12,$V$6,-$V$2)</f>
        <v>25393.427427109084</v>
      </c>
      <c r="R589" s="4">
        <v>645000</v>
      </c>
      <c r="S589" s="2" t="s">
        <v>12</v>
      </c>
    </row>
    <row r="590" spans="1:19" x14ac:dyDescent="0.3">
      <c r="A590" s="4">
        <v>589</v>
      </c>
      <c r="B590" s="4" t="s">
        <v>609</v>
      </c>
      <c r="C590" s="4" t="s">
        <v>38</v>
      </c>
      <c r="D590" s="4" t="s">
        <v>17</v>
      </c>
      <c r="E590" s="4" t="s">
        <v>13</v>
      </c>
      <c r="F590" s="4" t="s">
        <v>12</v>
      </c>
      <c r="G590" s="4">
        <v>100000</v>
      </c>
      <c r="H590" s="4">
        <v>35000</v>
      </c>
      <c r="I590" s="13">
        <v>1500000</v>
      </c>
      <c r="J590" s="4">
        <v>60</v>
      </c>
      <c r="K590" s="4">
        <v>1</v>
      </c>
      <c r="L590" s="4" t="s">
        <v>27</v>
      </c>
      <c r="M590" s="4" t="s">
        <v>15</v>
      </c>
      <c r="N590" s="4" t="s">
        <v>623</v>
      </c>
      <c r="O590" s="4" t="s">
        <v>625</v>
      </c>
      <c r="P590" s="5">
        <v>0.18</v>
      </c>
      <c r="Q590" s="14">
        <f t="shared" ref="Q590:Q591" si="55">PMT($V$9/12,$V$12,-$V$8)</f>
        <v>38090.141140663625</v>
      </c>
      <c r="R590" s="4">
        <v>985000</v>
      </c>
      <c r="S590" s="2" t="s">
        <v>12</v>
      </c>
    </row>
    <row r="591" spans="1:19" x14ac:dyDescent="0.3">
      <c r="A591" s="4">
        <v>590</v>
      </c>
      <c r="B591" s="4" t="s">
        <v>610</v>
      </c>
      <c r="C591" s="4" t="s">
        <v>11</v>
      </c>
      <c r="D591" s="4" t="s">
        <v>17</v>
      </c>
      <c r="E591" s="4" t="s">
        <v>22</v>
      </c>
      <c r="F591" s="4" t="s">
        <v>12</v>
      </c>
      <c r="G591" s="4">
        <v>80000</v>
      </c>
      <c r="H591" s="4">
        <v>0</v>
      </c>
      <c r="I591" s="13">
        <v>1500000</v>
      </c>
      <c r="J591" s="4">
        <v>60</v>
      </c>
      <c r="K591" s="4">
        <v>1</v>
      </c>
      <c r="L591" s="4" t="s">
        <v>14</v>
      </c>
      <c r="M591" s="4" t="s">
        <v>19</v>
      </c>
      <c r="N591" s="4" t="s">
        <v>623</v>
      </c>
      <c r="O591" s="4" t="s">
        <v>625</v>
      </c>
      <c r="P591" s="5">
        <v>0.18</v>
      </c>
      <c r="Q591" s="14">
        <f t="shared" si="55"/>
        <v>38090.141140663625</v>
      </c>
      <c r="R591" s="4">
        <v>785000</v>
      </c>
      <c r="S591" s="2" t="s">
        <v>12</v>
      </c>
    </row>
    <row r="592" spans="1:19" x14ac:dyDescent="0.3">
      <c r="A592" s="4">
        <v>591</v>
      </c>
      <c r="B592" s="4" t="s">
        <v>611</v>
      </c>
      <c r="C592" s="4" t="s">
        <v>11</v>
      </c>
      <c r="D592" s="4" t="s">
        <v>17</v>
      </c>
      <c r="E592" s="4" t="s">
        <v>13</v>
      </c>
      <c r="F592" s="4" t="s">
        <v>12</v>
      </c>
      <c r="G592" s="4">
        <v>50000</v>
      </c>
      <c r="H592" s="4">
        <v>0</v>
      </c>
      <c r="I592" s="13">
        <v>500000</v>
      </c>
      <c r="J592" s="4">
        <v>60</v>
      </c>
      <c r="K592" s="4">
        <v>1</v>
      </c>
      <c r="L592" s="4" t="s">
        <v>27</v>
      </c>
      <c r="M592" s="4" t="s">
        <v>15</v>
      </c>
      <c r="N592" s="4" t="s">
        <v>623</v>
      </c>
      <c r="O592" s="4" t="s">
        <v>625</v>
      </c>
      <c r="P592" s="5">
        <v>0.18</v>
      </c>
      <c r="Q592" s="14">
        <f>PMT($V$15/12,$V$18,-$V$14)</f>
        <v>12696.713713554542</v>
      </c>
      <c r="R592" s="4">
        <v>550000</v>
      </c>
      <c r="S592" s="2" t="s">
        <v>12</v>
      </c>
    </row>
    <row r="593" spans="1:19" x14ac:dyDescent="0.3">
      <c r="A593" s="4">
        <v>592</v>
      </c>
      <c r="B593" s="4" t="s">
        <v>612</v>
      </c>
      <c r="C593" s="4" t="s">
        <v>11</v>
      </c>
      <c r="D593" s="4" t="s">
        <v>17</v>
      </c>
      <c r="E593" s="4" t="s">
        <v>22</v>
      </c>
      <c r="F593" s="4" t="s">
        <v>12</v>
      </c>
      <c r="G593" s="4">
        <v>200000</v>
      </c>
      <c r="H593" s="4">
        <v>50000</v>
      </c>
      <c r="I593" s="13">
        <v>3000000</v>
      </c>
      <c r="J593" s="4">
        <v>60</v>
      </c>
      <c r="K593" s="4">
        <v>1</v>
      </c>
      <c r="L593" s="4" t="s">
        <v>18</v>
      </c>
      <c r="M593" s="4" t="s">
        <v>15</v>
      </c>
      <c r="N593" s="4" t="s">
        <v>623</v>
      </c>
      <c r="O593" s="4" t="s">
        <v>625</v>
      </c>
      <c r="P593" s="5">
        <v>0.18</v>
      </c>
      <c r="Q593" s="14">
        <f>PMT($Y$81/12,$Y$84,-$Y$80)</f>
        <v>76180.282281327251</v>
      </c>
      <c r="R593" s="4">
        <v>1500000</v>
      </c>
      <c r="S593" s="2" t="s">
        <v>12</v>
      </c>
    </row>
    <row r="594" spans="1:19" x14ac:dyDescent="0.3">
      <c r="A594" s="4">
        <v>593</v>
      </c>
      <c r="B594" s="4" t="s">
        <v>613</v>
      </c>
      <c r="C594" s="4" t="s">
        <v>11</v>
      </c>
      <c r="D594" s="4" t="s">
        <v>17</v>
      </c>
      <c r="E594" s="4" t="s">
        <v>13</v>
      </c>
      <c r="F594" s="4" t="s">
        <v>12</v>
      </c>
      <c r="G594" s="4">
        <v>75000</v>
      </c>
      <c r="H594" s="4">
        <v>25000</v>
      </c>
      <c r="I594" s="13">
        <v>1000000</v>
      </c>
      <c r="J594" s="4">
        <v>60</v>
      </c>
      <c r="K594" s="4">
        <v>1</v>
      </c>
      <c r="L594" s="4" t="s">
        <v>18</v>
      </c>
      <c r="M594" s="4" t="s">
        <v>15</v>
      </c>
      <c r="N594" s="4" t="s">
        <v>623</v>
      </c>
      <c r="O594" s="4" t="s">
        <v>625</v>
      </c>
      <c r="P594" s="5">
        <v>0.18</v>
      </c>
      <c r="Q594" s="14">
        <f>PMT($V$3/12,$V$6,-$V$2)</f>
        <v>25393.427427109084</v>
      </c>
      <c r="R594" s="4">
        <v>765000</v>
      </c>
      <c r="S594" s="2" t="s">
        <v>12</v>
      </c>
    </row>
    <row r="595" spans="1:19" x14ac:dyDescent="0.3">
      <c r="A595" s="4">
        <v>594</v>
      </c>
      <c r="B595" s="4" t="s">
        <v>614</v>
      </c>
      <c r="C595" s="4" t="s">
        <v>38</v>
      </c>
      <c r="D595" s="4" t="s">
        <v>12</v>
      </c>
      <c r="E595" s="4" t="s">
        <v>13</v>
      </c>
      <c r="F595" s="4" t="s">
        <v>12</v>
      </c>
      <c r="G595" s="4">
        <v>50000</v>
      </c>
      <c r="H595" s="4">
        <v>35000</v>
      </c>
      <c r="I595" s="13">
        <v>1500000</v>
      </c>
      <c r="J595" s="4">
        <v>60</v>
      </c>
      <c r="K595" s="4">
        <v>1</v>
      </c>
      <c r="L595" s="4" t="s">
        <v>18</v>
      </c>
      <c r="M595" s="4" t="s">
        <v>15</v>
      </c>
      <c r="N595" s="4" t="s">
        <v>623</v>
      </c>
      <c r="O595" s="4" t="s">
        <v>625</v>
      </c>
      <c r="P595" s="5">
        <v>0.18</v>
      </c>
      <c r="Q595" s="14">
        <f>PMT($V$9/12,$V$12,-$V$8)</f>
        <v>38090.141140663625</v>
      </c>
      <c r="R595" s="4">
        <v>555000</v>
      </c>
      <c r="S595" s="2" t="s">
        <v>12</v>
      </c>
    </row>
    <row r="596" spans="1:19" x14ac:dyDescent="0.3">
      <c r="A596" s="4">
        <v>595</v>
      </c>
      <c r="B596" s="4" t="s">
        <v>615</v>
      </c>
      <c r="C596" s="4" t="s">
        <v>11</v>
      </c>
      <c r="D596" s="4" t="s">
        <v>17</v>
      </c>
      <c r="E596" s="4" t="s">
        <v>13</v>
      </c>
      <c r="F596" s="4" t="s">
        <v>12</v>
      </c>
      <c r="G596" s="4">
        <v>85000</v>
      </c>
      <c r="H596" s="4">
        <v>0</v>
      </c>
      <c r="I596" s="13">
        <v>1000000</v>
      </c>
      <c r="J596" s="4">
        <v>60</v>
      </c>
      <c r="K596" s="4">
        <v>1</v>
      </c>
      <c r="L596" s="4" t="s">
        <v>18</v>
      </c>
      <c r="M596" s="4" t="s">
        <v>15</v>
      </c>
      <c r="N596" s="4" t="s">
        <v>623</v>
      </c>
      <c r="O596" s="4" t="s">
        <v>625</v>
      </c>
      <c r="P596" s="5">
        <v>0.18</v>
      </c>
      <c r="Q596" s="14">
        <f>PMT($V$3/12,$V$6,-$V$2)</f>
        <v>25393.427427109084</v>
      </c>
      <c r="R596" s="4">
        <v>689000</v>
      </c>
      <c r="S596" s="2" t="s">
        <v>12</v>
      </c>
    </row>
    <row r="597" spans="1:19" x14ac:dyDescent="0.3">
      <c r="A597" s="4">
        <v>596</v>
      </c>
      <c r="B597" s="4" t="s">
        <v>616</v>
      </c>
      <c r="C597" s="4" t="s">
        <v>11</v>
      </c>
      <c r="D597" s="4" t="s">
        <v>17</v>
      </c>
      <c r="E597" s="4" t="s">
        <v>13</v>
      </c>
      <c r="F597" s="4" t="s">
        <v>12</v>
      </c>
      <c r="G597" s="4">
        <v>50000</v>
      </c>
      <c r="H597" s="4">
        <v>30000</v>
      </c>
      <c r="I597" s="13">
        <v>2000000</v>
      </c>
      <c r="J597" s="4">
        <v>60</v>
      </c>
      <c r="K597" s="4">
        <v>1</v>
      </c>
      <c r="L597" s="4" t="s">
        <v>14</v>
      </c>
      <c r="M597" s="4" t="s">
        <v>15</v>
      </c>
      <c r="N597" s="4" t="s">
        <v>623</v>
      </c>
      <c r="O597" s="4" t="s">
        <v>625</v>
      </c>
      <c r="P597" s="5">
        <v>0.18</v>
      </c>
      <c r="Q597" s="14">
        <f>PMT($V$27/12,$V$30,-$V$26)</f>
        <v>50786.854854218167</v>
      </c>
      <c r="R597" s="4">
        <v>542300</v>
      </c>
      <c r="S597" s="2" t="s">
        <v>17</v>
      </c>
    </row>
    <row r="598" spans="1:19" x14ac:dyDescent="0.3">
      <c r="A598" s="4">
        <v>597</v>
      </c>
      <c r="B598" s="4" t="s">
        <v>617</v>
      </c>
      <c r="C598" s="4" t="s">
        <v>11</v>
      </c>
      <c r="D598" s="4" t="s">
        <v>17</v>
      </c>
      <c r="E598" s="4" t="s">
        <v>13</v>
      </c>
      <c r="F598" s="4" t="s">
        <v>12</v>
      </c>
      <c r="G598" s="4">
        <v>65000</v>
      </c>
      <c r="H598" s="4">
        <v>20000</v>
      </c>
      <c r="I598" s="13">
        <v>800000</v>
      </c>
      <c r="J598" s="4">
        <v>60</v>
      </c>
      <c r="K598" s="4">
        <v>1</v>
      </c>
      <c r="L598" s="4" t="s">
        <v>14</v>
      </c>
      <c r="M598" s="4" t="s">
        <v>15</v>
      </c>
      <c r="N598" s="4" t="s">
        <v>623</v>
      </c>
      <c r="O598" s="4" t="s">
        <v>625</v>
      </c>
      <c r="P598" s="5">
        <v>0.18</v>
      </c>
      <c r="Q598" s="14">
        <f>PMT($V$33/12,$V$36,-$V$32)</f>
        <v>20314.741941687265</v>
      </c>
      <c r="R598" s="4">
        <v>674100</v>
      </c>
      <c r="S598" s="2" t="s">
        <v>12</v>
      </c>
    </row>
    <row r="599" spans="1:19" x14ac:dyDescent="0.3">
      <c r="A599" s="4">
        <v>598</v>
      </c>
      <c r="B599" s="4" t="s">
        <v>618</v>
      </c>
      <c r="C599" s="4" t="s">
        <v>38</v>
      </c>
      <c r="D599" s="4" t="s">
        <v>12</v>
      </c>
      <c r="E599" s="4" t="s">
        <v>13</v>
      </c>
      <c r="F599" s="4" t="s">
        <v>17</v>
      </c>
      <c r="G599" s="4">
        <v>55000</v>
      </c>
      <c r="H599" s="4">
        <v>25000</v>
      </c>
      <c r="I599" s="13">
        <v>1000000</v>
      </c>
      <c r="J599" s="4">
        <v>60</v>
      </c>
      <c r="K599" s="4">
        <v>0</v>
      </c>
      <c r="L599" s="4" t="s">
        <v>27</v>
      </c>
      <c r="M599" s="4" t="s">
        <v>19</v>
      </c>
      <c r="N599" s="4" t="s">
        <v>623</v>
      </c>
      <c r="O599" s="4" t="s">
        <v>625</v>
      </c>
      <c r="P599" s="5">
        <v>0.18</v>
      </c>
      <c r="Q599" s="14">
        <f>PMT($V$3/12,$V$6,-$V$2)</f>
        <v>25393.427427109084</v>
      </c>
      <c r="R599" s="4">
        <v>685200</v>
      </c>
      <c r="S599" s="2" t="s">
        <v>12</v>
      </c>
    </row>
    <row r="600" spans="1:19" x14ac:dyDescent="0.3">
      <c r="I600" s="1"/>
      <c r="R600" s="11" t="s">
        <v>636</v>
      </c>
      <c r="S600" s="1"/>
    </row>
    <row r="601" spans="1:19" x14ac:dyDescent="0.3">
      <c r="I601" s="1"/>
      <c r="S601" s="1"/>
    </row>
    <row r="602" spans="1:19" x14ac:dyDescent="0.3">
      <c r="I602" s="1"/>
      <c r="S602" s="1"/>
    </row>
    <row r="603" spans="1:19" x14ac:dyDescent="0.3">
      <c r="I603" s="1"/>
      <c r="S603" s="1"/>
    </row>
    <row r="604" spans="1:19" x14ac:dyDescent="0.3">
      <c r="I604" s="1"/>
      <c r="S604" s="1"/>
    </row>
    <row r="605" spans="1:19" x14ac:dyDescent="0.3">
      <c r="I605" s="1"/>
      <c r="S605" s="1"/>
    </row>
    <row r="606" spans="1:19" x14ac:dyDescent="0.3">
      <c r="I606" s="1"/>
      <c r="S606" s="1"/>
    </row>
    <row r="607" spans="1:19" x14ac:dyDescent="0.3">
      <c r="I607" s="1"/>
      <c r="S607" s="1"/>
    </row>
    <row r="608" spans="1:19" x14ac:dyDescent="0.3">
      <c r="I608" s="1"/>
      <c r="S608" s="1"/>
    </row>
    <row r="609" spans="9:19" x14ac:dyDescent="0.3">
      <c r="I609" s="1"/>
      <c r="S609" s="1"/>
    </row>
    <row r="610" spans="9:19" x14ac:dyDescent="0.3">
      <c r="I610" s="1"/>
      <c r="S610" s="1"/>
    </row>
    <row r="611" spans="9:19" x14ac:dyDescent="0.3">
      <c r="I611" s="1"/>
      <c r="S611" s="1"/>
    </row>
    <row r="612" spans="9:19" x14ac:dyDescent="0.3">
      <c r="I612" s="1"/>
      <c r="S612" s="1"/>
    </row>
    <row r="613" spans="9:19" x14ac:dyDescent="0.3">
      <c r="I613" s="1"/>
      <c r="S613" s="1"/>
    </row>
    <row r="614" spans="9:19" x14ac:dyDescent="0.3">
      <c r="I614" s="1"/>
      <c r="S614" s="1"/>
    </row>
    <row r="615" spans="9:19" x14ac:dyDescent="0.3">
      <c r="I615" s="1"/>
      <c r="S615" s="1"/>
    </row>
    <row r="616" spans="9:19" x14ac:dyDescent="0.3">
      <c r="I616" s="1"/>
      <c r="S616" s="1"/>
    </row>
    <row r="617" spans="9:19" x14ac:dyDescent="0.3">
      <c r="I617" s="1"/>
      <c r="S617" s="1"/>
    </row>
    <row r="618" spans="9:19" x14ac:dyDescent="0.3">
      <c r="I618" s="1"/>
      <c r="S618" s="1"/>
    </row>
    <row r="619" spans="9:19" x14ac:dyDescent="0.3">
      <c r="I619" s="1"/>
      <c r="S619" s="1"/>
    </row>
    <row r="620" spans="9:19" x14ac:dyDescent="0.3">
      <c r="I620" s="1"/>
      <c r="S620" s="1"/>
    </row>
    <row r="621" spans="9:19" x14ac:dyDescent="0.3">
      <c r="I621" s="1"/>
      <c r="S621" s="1"/>
    </row>
    <row r="622" spans="9:19" x14ac:dyDescent="0.3">
      <c r="I622" s="1"/>
      <c r="S622" s="1"/>
    </row>
    <row r="623" spans="9:19" x14ac:dyDescent="0.3">
      <c r="I623" s="1"/>
      <c r="S623" s="1"/>
    </row>
    <row r="624" spans="9:19" x14ac:dyDescent="0.3">
      <c r="I624" s="1"/>
      <c r="S624" s="1"/>
    </row>
    <row r="625" spans="9:19" x14ac:dyDescent="0.3">
      <c r="I625" s="1"/>
      <c r="S625" s="1"/>
    </row>
    <row r="626" spans="9:19" x14ac:dyDescent="0.3">
      <c r="I626" s="1"/>
      <c r="S626" s="1"/>
    </row>
    <row r="627" spans="9:19" x14ac:dyDescent="0.3">
      <c r="I627" s="1"/>
      <c r="S627" s="1"/>
    </row>
    <row r="628" spans="9:19" x14ac:dyDescent="0.3">
      <c r="I628" s="1"/>
      <c r="S628" s="1"/>
    </row>
    <row r="629" spans="9:19" x14ac:dyDescent="0.3">
      <c r="I629" s="1"/>
      <c r="S629" s="1"/>
    </row>
    <row r="630" spans="9:19" x14ac:dyDescent="0.3">
      <c r="I630" s="1"/>
      <c r="S630" s="1"/>
    </row>
    <row r="631" spans="9:19" x14ac:dyDescent="0.3">
      <c r="I631" s="1"/>
      <c r="S631" s="1"/>
    </row>
    <row r="632" spans="9:19" x14ac:dyDescent="0.3">
      <c r="I632" s="1"/>
      <c r="S632" s="1"/>
    </row>
    <row r="633" spans="9:19" x14ac:dyDescent="0.3">
      <c r="I633" s="1"/>
      <c r="S633" s="1"/>
    </row>
    <row r="634" spans="9:19" x14ac:dyDescent="0.3">
      <c r="I634" s="1"/>
      <c r="S634" s="1"/>
    </row>
    <row r="635" spans="9:19" x14ac:dyDescent="0.3">
      <c r="I635" s="1"/>
      <c r="S635" s="1"/>
    </row>
    <row r="636" spans="9:19" x14ac:dyDescent="0.3">
      <c r="I636" s="1"/>
      <c r="S636" s="1"/>
    </row>
    <row r="637" spans="9:19" x14ac:dyDescent="0.3">
      <c r="I637" s="1"/>
      <c r="S637" s="1"/>
    </row>
    <row r="638" spans="9:19" x14ac:dyDescent="0.3">
      <c r="I638" s="1"/>
      <c r="S638" s="1"/>
    </row>
    <row r="639" spans="9:19" x14ac:dyDescent="0.3">
      <c r="I639" s="1"/>
      <c r="S639" s="1"/>
    </row>
    <row r="640" spans="9:19" x14ac:dyDescent="0.3">
      <c r="I640" s="1"/>
      <c r="S640" s="1"/>
    </row>
    <row r="641" spans="9:19" x14ac:dyDescent="0.3">
      <c r="I641" s="1"/>
      <c r="S641" s="1"/>
    </row>
    <row r="642" spans="9:19" x14ac:dyDescent="0.3">
      <c r="I642" s="1"/>
      <c r="S642" s="1"/>
    </row>
    <row r="643" spans="9:19" x14ac:dyDescent="0.3">
      <c r="I643" s="1"/>
      <c r="S643" s="1"/>
    </row>
    <row r="644" spans="9:19" x14ac:dyDescent="0.3">
      <c r="I644" s="1"/>
      <c r="S644" s="1"/>
    </row>
    <row r="645" spans="9:19" x14ac:dyDescent="0.3">
      <c r="I645" s="1"/>
      <c r="S645" s="1"/>
    </row>
    <row r="646" spans="9:19" x14ac:dyDescent="0.3">
      <c r="I646" s="1"/>
      <c r="S646" s="1"/>
    </row>
    <row r="647" spans="9:19" x14ac:dyDescent="0.3">
      <c r="I647" s="1"/>
      <c r="S647" s="1"/>
    </row>
    <row r="648" spans="9:19" x14ac:dyDescent="0.3">
      <c r="I648" s="1"/>
      <c r="S648" s="1"/>
    </row>
    <row r="649" spans="9:19" x14ac:dyDescent="0.3">
      <c r="I649" s="1"/>
      <c r="S649" s="1"/>
    </row>
    <row r="650" spans="9:19" x14ac:dyDescent="0.3">
      <c r="I650" s="1"/>
      <c r="S650" s="1"/>
    </row>
    <row r="651" spans="9:19" x14ac:dyDescent="0.3">
      <c r="I651" s="1"/>
      <c r="S651" s="1"/>
    </row>
    <row r="652" spans="9:19" x14ac:dyDescent="0.3">
      <c r="I652" s="1"/>
      <c r="S652" s="1"/>
    </row>
    <row r="653" spans="9:19" x14ac:dyDescent="0.3">
      <c r="I653" s="1"/>
      <c r="S653" s="1"/>
    </row>
    <row r="654" spans="9:19" x14ac:dyDescent="0.3">
      <c r="I654" s="1"/>
      <c r="S654" s="1"/>
    </row>
    <row r="655" spans="9:19" x14ac:dyDescent="0.3">
      <c r="I655" s="1"/>
      <c r="S655" s="1"/>
    </row>
    <row r="656" spans="9:19" x14ac:dyDescent="0.3">
      <c r="I656" s="1"/>
      <c r="S656" s="1"/>
    </row>
    <row r="657" spans="9:19" x14ac:dyDescent="0.3">
      <c r="I657" s="1"/>
      <c r="S657" s="1"/>
    </row>
    <row r="658" spans="9:19" x14ac:dyDescent="0.3">
      <c r="I658" s="1"/>
      <c r="S658" s="1"/>
    </row>
    <row r="659" spans="9:19" x14ac:dyDescent="0.3">
      <c r="I659" s="1"/>
      <c r="S659" s="1"/>
    </row>
    <row r="660" spans="9:19" x14ac:dyDescent="0.3">
      <c r="I660" s="1"/>
      <c r="S660" s="1"/>
    </row>
    <row r="661" spans="9:19" x14ac:dyDescent="0.3">
      <c r="I661" s="1"/>
      <c r="S661" s="1"/>
    </row>
    <row r="662" spans="9:19" x14ac:dyDescent="0.3">
      <c r="I662" s="1"/>
      <c r="S662" s="1"/>
    </row>
    <row r="663" spans="9:19" x14ac:dyDescent="0.3">
      <c r="I663" s="1"/>
      <c r="S663" s="1"/>
    </row>
    <row r="664" spans="9:19" x14ac:dyDescent="0.3">
      <c r="I664" s="1"/>
      <c r="S664" s="1"/>
    </row>
    <row r="665" spans="9:19" x14ac:dyDescent="0.3">
      <c r="I665" s="1"/>
      <c r="S665" s="1"/>
    </row>
    <row r="666" spans="9:19" x14ac:dyDescent="0.3">
      <c r="I666" s="1"/>
      <c r="S666" s="1"/>
    </row>
    <row r="667" spans="9:19" x14ac:dyDescent="0.3">
      <c r="I667" s="1"/>
      <c r="S667" s="1"/>
    </row>
    <row r="668" spans="9:19" x14ac:dyDescent="0.3">
      <c r="I668" s="1"/>
      <c r="S668" s="1"/>
    </row>
    <row r="669" spans="9:19" x14ac:dyDescent="0.3">
      <c r="I669" s="1"/>
      <c r="S669" s="1"/>
    </row>
    <row r="670" spans="9:19" x14ac:dyDescent="0.3">
      <c r="I670" s="1"/>
      <c r="S670" s="1"/>
    </row>
    <row r="671" spans="9:19" x14ac:dyDescent="0.3">
      <c r="I671" s="1"/>
      <c r="S671" s="1"/>
    </row>
    <row r="672" spans="9:19" x14ac:dyDescent="0.3">
      <c r="I672" s="1"/>
      <c r="S672" s="1"/>
    </row>
    <row r="673" spans="9:19" x14ac:dyDescent="0.3">
      <c r="I673" s="1"/>
      <c r="S673" s="1"/>
    </row>
    <row r="674" spans="9:19" x14ac:dyDescent="0.3">
      <c r="I674" s="1"/>
      <c r="S674" s="1"/>
    </row>
    <row r="675" spans="9:19" x14ac:dyDescent="0.3">
      <c r="I675" s="1"/>
      <c r="S675" s="1"/>
    </row>
    <row r="676" spans="9:19" x14ac:dyDescent="0.3">
      <c r="I676" s="1"/>
      <c r="S676" s="1"/>
    </row>
    <row r="677" spans="9:19" x14ac:dyDescent="0.3">
      <c r="I677" s="1"/>
      <c r="S677" s="1"/>
    </row>
    <row r="678" spans="9:19" x14ac:dyDescent="0.3">
      <c r="I678" s="1"/>
      <c r="S678" s="1"/>
    </row>
    <row r="679" spans="9:19" x14ac:dyDescent="0.3">
      <c r="I679" s="1"/>
      <c r="S679" s="1"/>
    </row>
    <row r="680" spans="9:19" x14ac:dyDescent="0.3">
      <c r="I680" s="1"/>
      <c r="S680" s="1"/>
    </row>
    <row r="681" spans="9:19" x14ac:dyDescent="0.3">
      <c r="I681" s="1"/>
      <c r="S681" s="1"/>
    </row>
    <row r="682" spans="9:19" x14ac:dyDescent="0.3">
      <c r="I682" s="1"/>
      <c r="S682" s="1"/>
    </row>
    <row r="683" spans="9:19" x14ac:dyDescent="0.3">
      <c r="I683" s="1"/>
      <c r="S683" s="1"/>
    </row>
    <row r="684" spans="9:19" x14ac:dyDescent="0.3">
      <c r="I684" s="1"/>
      <c r="S684" s="1"/>
    </row>
    <row r="685" spans="9:19" x14ac:dyDescent="0.3">
      <c r="I685" s="1"/>
      <c r="S685" s="1"/>
    </row>
    <row r="686" spans="9:19" x14ac:dyDescent="0.3">
      <c r="I686" s="1"/>
      <c r="S686" s="1"/>
    </row>
    <row r="687" spans="9:19" x14ac:dyDescent="0.3">
      <c r="I687" s="1"/>
      <c r="S687" s="1"/>
    </row>
    <row r="688" spans="9:19" x14ac:dyDescent="0.3">
      <c r="I688" s="1"/>
      <c r="S688" s="1"/>
    </row>
    <row r="689" spans="9:19" x14ac:dyDescent="0.3">
      <c r="I689" s="1"/>
      <c r="S689" s="1"/>
    </row>
    <row r="690" spans="9:19" x14ac:dyDescent="0.3">
      <c r="I690" s="1"/>
      <c r="S690" s="1"/>
    </row>
    <row r="691" spans="9:19" x14ac:dyDescent="0.3">
      <c r="I691" s="1"/>
      <c r="S691" s="1"/>
    </row>
    <row r="692" spans="9:19" x14ac:dyDescent="0.3">
      <c r="I692" s="1"/>
      <c r="S692" s="1"/>
    </row>
    <row r="693" spans="9:19" x14ac:dyDescent="0.3">
      <c r="I693" s="1"/>
      <c r="S693" s="1"/>
    </row>
    <row r="694" spans="9:19" x14ac:dyDescent="0.3">
      <c r="I694" s="1"/>
      <c r="S694" s="1"/>
    </row>
    <row r="695" spans="9:19" x14ac:dyDescent="0.3">
      <c r="I695" s="1"/>
      <c r="S695" s="1"/>
    </row>
    <row r="696" spans="9:19" x14ac:dyDescent="0.3">
      <c r="I696" s="1"/>
      <c r="S696" s="1"/>
    </row>
    <row r="697" spans="9:19" x14ac:dyDescent="0.3">
      <c r="I697" s="1"/>
      <c r="S697" s="1"/>
    </row>
    <row r="698" spans="9:19" x14ac:dyDescent="0.3">
      <c r="I698" s="1"/>
      <c r="S698" s="1"/>
    </row>
    <row r="699" spans="9:19" x14ac:dyDescent="0.3">
      <c r="I699" s="1"/>
      <c r="S699" s="1"/>
    </row>
    <row r="700" spans="9:19" x14ac:dyDescent="0.3">
      <c r="I700" s="1"/>
      <c r="S700" s="1"/>
    </row>
    <row r="701" spans="9:19" x14ac:dyDescent="0.3">
      <c r="I701" s="1"/>
      <c r="S701" s="1"/>
    </row>
    <row r="702" spans="9:19" x14ac:dyDescent="0.3">
      <c r="I702" s="1"/>
      <c r="S702" s="1"/>
    </row>
    <row r="703" spans="9:19" x14ac:dyDescent="0.3">
      <c r="I703" s="1"/>
      <c r="S703" s="1"/>
    </row>
    <row r="704" spans="9:19" x14ac:dyDescent="0.3">
      <c r="I704" s="1"/>
      <c r="S704" s="1"/>
    </row>
    <row r="705" spans="9:19" x14ac:dyDescent="0.3">
      <c r="I705" s="1"/>
      <c r="S705" s="1"/>
    </row>
    <row r="706" spans="9:19" x14ac:dyDescent="0.3">
      <c r="I706" s="1"/>
      <c r="S706" s="1"/>
    </row>
    <row r="707" spans="9:19" x14ac:dyDescent="0.3">
      <c r="I707" s="1"/>
      <c r="S707" s="1"/>
    </row>
    <row r="708" spans="9:19" x14ac:dyDescent="0.3">
      <c r="I708" s="1"/>
      <c r="S708" s="1"/>
    </row>
    <row r="709" spans="9:19" x14ac:dyDescent="0.3">
      <c r="I709" s="1"/>
      <c r="S709" s="1"/>
    </row>
    <row r="710" spans="9:19" x14ac:dyDescent="0.3">
      <c r="I710" s="1"/>
      <c r="S710" s="1"/>
    </row>
    <row r="711" spans="9:19" x14ac:dyDescent="0.3">
      <c r="I711" s="1"/>
      <c r="S711" s="1"/>
    </row>
    <row r="712" spans="9:19" x14ac:dyDescent="0.3">
      <c r="I712" s="1"/>
      <c r="S712" s="1"/>
    </row>
    <row r="713" spans="9:19" x14ac:dyDescent="0.3">
      <c r="I713" s="1"/>
      <c r="S713" s="1"/>
    </row>
    <row r="714" spans="9:19" x14ac:dyDescent="0.3">
      <c r="I714" s="1"/>
      <c r="S714" s="1"/>
    </row>
    <row r="715" spans="9:19" x14ac:dyDescent="0.3">
      <c r="I715" s="1"/>
      <c r="S715" s="1"/>
    </row>
    <row r="716" spans="9:19" x14ac:dyDescent="0.3">
      <c r="I716" s="1"/>
      <c r="S716" s="1"/>
    </row>
    <row r="717" spans="9:19" x14ac:dyDescent="0.3">
      <c r="I717" s="1"/>
      <c r="S717" s="1"/>
    </row>
    <row r="718" spans="9:19" x14ac:dyDescent="0.3">
      <c r="I718" s="1"/>
      <c r="S718" s="1"/>
    </row>
    <row r="719" spans="9:19" x14ac:dyDescent="0.3">
      <c r="I719" s="1"/>
      <c r="S719" s="1"/>
    </row>
    <row r="720" spans="9:19" x14ac:dyDescent="0.3">
      <c r="I720" s="1"/>
      <c r="S720" s="1"/>
    </row>
    <row r="721" spans="9:19" x14ac:dyDescent="0.3">
      <c r="I721" s="1"/>
      <c r="S721" s="1"/>
    </row>
    <row r="722" spans="9:19" x14ac:dyDescent="0.3">
      <c r="I722" s="1"/>
      <c r="S722" s="1"/>
    </row>
    <row r="723" spans="9:19" x14ac:dyDescent="0.3">
      <c r="I723" s="1"/>
      <c r="S723" s="1"/>
    </row>
    <row r="724" spans="9:19" x14ac:dyDescent="0.3">
      <c r="I724" s="1"/>
      <c r="S724" s="1"/>
    </row>
    <row r="725" spans="9:19" x14ac:dyDescent="0.3">
      <c r="I725" s="1"/>
      <c r="S725" s="1"/>
    </row>
    <row r="726" spans="9:19" x14ac:dyDescent="0.3">
      <c r="I726" s="1"/>
      <c r="S726" s="1"/>
    </row>
    <row r="727" spans="9:19" x14ac:dyDescent="0.3">
      <c r="I727" s="1"/>
      <c r="S727" s="1"/>
    </row>
    <row r="728" spans="9:19" x14ac:dyDescent="0.3">
      <c r="I728" s="1"/>
      <c r="S728" s="1"/>
    </row>
    <row r="729" spans="9:19" x14ac:dyDescent="0.3">
      <c r="I729" s="1"/>
      <c r="S729" s="1"/>
    </row>
    <row r="730" spans="9:19" x14ac:dyDescent="0.3">
      <c r="I730" s="1"/>
      <c r="S730" s="1"/>
    </row>
    <row r="731" spans="9:19" x14ac:dyDescent="0.3">
      <c r="I731" s="1"/>
      <c r="S731" s="1"/>
    </row>
    <row r="732" spans="9:19" x14ac:dyDescent="0.3">
      <c r="I732" s="1"/>
      <c r="S732" s="1"/>
    </row>
    <row r="733" spans="9:19" x14ac:dyDescent="0.3">
      <c r="I733" s="1"/>
      <c r="S733" s="1"/>
    </row>
    <row r="734" spans="9:19" x14ac:dyDescent="0.3">
      <c r="I734" s="1"/>
      <c r="S734" s="1"/>
    </row>
    <row r="735" spans="9:19" x14ac:dyDescent="0.3">
      <c r="I735" s="1"/>
      <c r="S735" s="1"/>
    </row>
    <row r="736" spans="9:19" x14ac:dyDescent="0.3">
      <c r="I736" s="1"/>
      <c r="S736" s="1"/>
    </row>
    <row r="737" spans="9:19" x14ac:dyDescent="0.3">
      <c r="I737" s="1"/>
      <c r="S737" s="1"/>
    </row>
    <row r="738" spans="9:19" x14ac:dyDescent="0.3">
      <c r="I738" s="1"/>
      <c r="S738" s="1"/>
    </row>
    <row r="739" spans="9:19" x14ac:dyDescent="0.3">
      <c r="I739" s="1"/>
      <c r="S739" s="1"/>
    </row>
    <row r="740" spans="9:19" x14ac:dyDescent="0.3">
      <c r="I740" s="1"/>
      <c r="S740" s="1"/>
    </row>
    <row r="741" spans="9:19" x14ac:dyDescent="0.3">
      <c r="I741" s="1"/>
      <c r="S741" s="1"/>
    </row>
    <row r="742" spans="9:19" x14ac:dyDescent="0.3">
      <c r="I742" s="1"/>
      <c r="S742" s="1"/>
    </row>
    <row r="743" spans="9:19" x14ac:dyDescent="0.3">
      <c r="I743" s="1"/>
      <c r="S743" s="1"/>
    </row>
    <row r="744" spans="9:19" x14ac:dyDescent="0.3">
      <c r="I744" s="1"/>
      <c r="S744" s="1"/>
    </row>
    <row r="745" spans="9:19" x14ac:dyDescent="0.3">
      <c r="I745" s="1"/>
      <c r="S745" s="1"/>
    </row>
    <row r="746" spans="9:19" x14ac:dyDescent="0.3">
      <c r="I746" s="1"/>
      <c r="S746" s="1"/>
    </row>
    <row r="747" spans="9:19" x14ac:dyDescent="0.3">
      <c r="I747" s="1"/>
      <c r="S747" s="1"/>
    </row>
    <row r="748" spans="9:19" x14ac:dyDescent="0.3">
      <c r="I748" s="1"/>
      <c r="S748" s="1"/>
    </row>
    <row r="749" spans="9:19" x14ac:dyDescent="0.3">
      <c r="I749" s="1"/>
      <c r="S749" s="1"/>
    </row>
    <row r="750" spans="9:19" x14ac:dyDescent="0.3">
      <c r="I750" s="1"/>
      <c r="S750" s="1"/>
    </row>
    <row r="751" spans="9:19" x14ac:dyDescent="0.3">
      <c r="I751" s="1"/>
      <c r="S751" s="1"/>
    </row>
    <row r="752" spans="9:19" x14ac:dyDescent="0.3">
      <c r="I752" s="1"/>
      <c r="S752" s="1"/>
    </row>
    <row r="753" spans="9:19" x14ac:dyDescent="0.3">
      <c r="I753" s="1"/>
      <c r="S753" s="1"/>
    </row>
    <row r="754" spans="9:19" x14ac:dyDescent="0.3">
      <c r="I754" s="1"/>
      <c r="S754" s="1"/>
    </row>
    <row r="755" spans="9:19" x14ac:dyDescent="0.3">
      <c r="I755" s="1"/>
      <c r="S755" s="1"/>
    </row>
    <row r="756" spans="9:19" x14ac:dyDescent="0.3">
      <c r="I756" s="1"/>
      <c r="S756" s="1"/>
    </row>
    <row r="757" spans="9:19" x14ac:dyDescent="0.3">
      <c r="I757" s="1"/>
      <c r="S757" s="1"/>
    </row>
    <row r="758" spans="9:19" x14ac:dyDescent="0.3">
      <c r="I758" s="1"/>
      <c r="S758" s="1"/>
    </row>
    <row r="759" spans="9:19" x14ac:dyDescent="0.3">
      <c r="I759" s="1"/>
      <c r="S759" s="1"/>
    </row>
    <row r="760" spans="9:19" x14ac:dyDescent="0.3">
      <c r="I760" s="1"/>
      <c r="S760" s="1"/>
    </row>
    <row r="761" spans="9:19" x14ac:dyDescent="0.3">
      <c r="I761" s="1"/>
      <c r="S761" s="1"/>
    </row>
    <row r="762" spans="9:19" x14ac:dyDescent="0.3">
      <c r="I762" s="1"/>
      <c r="S762" s="1"/>
    </row>
    <row r="763" spans="9:19" x14ac:dyDescent="0.3">
      <c r="I763" s="1"/>
      <c r="S763" s="1"/>
    </row>
    <row r="764" spans="9:19" x14ac:dyDescent="0.3">
      <c r="I764" s="1"/>
      <c r="S764" s="1"/>
    </row>
    <row r="765" spans="9:19" x14ac:dyDescent="0.3">
      <c r="I765" s="1"/>
      <c r="S765" s="1"/>
    </row>
    <row r="766" spans="9:19" x14ac:dyDescent="0.3">
      <c r="I766" s="1"/>
      <c r="S766" s="1"/>
    </row>
    <row r="767" spans="9:19" x14ac:dyDescent="0.3">
      <c r="I767" s="1"/>
      <c r="S767" s="1"/>
    </row>
    <row r="768" spans="9:19" x14ac:dyDescent="0.3">
      <c r="I768" s="1"/>
      <c r="S768" s="1"/>
    </row>
    <row r="769" spans="9:19" x14ac:dyDescent="0.3">
      <c r="I769" s="1"/>
      <c r="S769" s="1"/>
    </row>
    <row r="770" spans="9:19" x14ac:dyDescent="0.3">
      <c r="I770" s="1"/>
      <c r="S770" s="1"/>
    </row>
    <row r="771" spans="9:19" x14ac:dyDescent="0.3">
      <c r="I771" s="1"/>
      <c r="S771" s="1"/>
    </row>
    <row r="772" spans="9:19" x14ac:dyDescent="0.3">
      <c r="I772" s="1"/>
      <c r="S772" s="1"/>
    </row>
    <row r="773" spans="9:19" x14ac:dyDescent="0.3">
      <c r="I773" s="1"/>
      <c r="S773" s="1"/>
    </row>
    <row r="774" spans="9:19" x14ac:dyDescent="0.3">
      <c r="I774" s="1"/>
      <c r="S774" s="1"/>
    </row>
    <row r="775" spans="9:19" x14ac:dyDescent="0.3">
      <c r="I775" s="1"/>
      <c r="S775" s="1"/>
    </row>
    <row r="776" spans="9:19" x14ac:dyDescent="0.3">
      <c r="I776" s="1"/>
      <c r="S776" s="1"/>
    </row>
    <row r="777" spans="9:19" x14ac:dyDescent="0.3">
      <c r="I777" s="1"/>
      <c r="S777" s="1"/>
    </row>
    <row r="778" spans="9:19" x14ac:dyDescent="0.3">
      <c r="I778" s="1"/>
      <c r="S778" s="1"/>
    </row>
    <row r="779" spans="9:19" x14ac:dyDescent="0.3">
      <c r="I779" s="1"/>
      <c r="S779" s="1"/>
    </row>
    <row r="780" spans="9:19" x14ac:dyDescent="0.3">
      <c r="I780" s="1"/>
      <c r="S780" s="1"/>
    </row>
    <row r="781" spans="9:19" x14ac:dyDescent="0.3">
      <c r="I781" s="1"/>
      <c r="S781" s="1"/>
    </row>
    <row r="782" spans="9:19" x14ac:dyDescent="0.3">
      <c r="I782" s="1"/>
      <c r="S782" s="1"/>
    </row>
    <row r="783" spans="9:19" x14ac:dyDescent="0.3">
      <c r="I783" s="1"/>
      <c r="S783" s="1"/>
    </row>
    <row r="784" spans="9:19" x14ac:dyDescent="0.3">
      <c r="I784" s="1"/>
      <c r="S784" s="1"/>
    </row>
    <row r="785" spans="9:19" x14ac:dyDescent="0.3">
      <c r="I785" s="1"/>
      <c r="S785" s="1"/>
    </row>
    <row r="786" spans="9:19" x14ac:dyDescent="0.3">
      <c r="I786" s="1"/>
      <c r="S786" s="1"/>
    </row>
    <row r="787" spans="9:19" x14ac:dyDescent="0.3">
      <c r="I787" s="1"/>
      <c r="S787" s="1"/>
    </row>
    <row r="788" spans="9:19" x14ac:dyDescent="0.3">
      <c r="I788" s="1"/>
      <c r="S788" s="1"/>
    </row>
    <row r="789" spans="9:19" x14ac:dyDescent="0.3">
      <c r="I789" s="1"/>
      <c r="S789" s="1"/>
    </row>
    <row r="790" spans="9:19" x14ac:dyDescent="0.3">
      <c r="I790" s="1"/>
      <c r="S790" s="1"/>
    </row>
    <row r="791" spans="9:19" x14ac:dyDescent="0.3">
      <c r="I791" s="1"/>
      <c r="S791" s="1"/>
    </row>
    <row r="792" spans="9:19" x14ac:dyDescent="0.3">
      <c r="I792" s="1"/>
      <c r="S792" s="1"/>
    </row>
    <row r="793" spans="9:19" x14ac:dyDescent="0.3">
      <c r="I793" s="1"/>
      <c r="S793" s="1"/>
    </row>
    <row r="794" spans="9:19" x14ac:dyDescent="0.3">
      <c r="I794" s="1"/>
      <c r="S794" s="1"/>
    </row>
    <row r="795" spans="9:19" x14ac:dyDescent="0.3">
      <c r="I795" s="1"/>
      <c r="S795" s="1"/>
    </row>
    <row r="796" spans="9:19" x14ac:dyDescent="0.3">
      <c r="I796" s="1"/>
      <c r="S796" s="1"/>
    </row>
    <row r="797" spans="9:19" x14ac:dyDescent="0.3">
      <c r="I797" s="1"/>
      <c r="S797" s="1"/>
    </row>
    <row r="798" spans="9:19" x14ac:dyDescent="0.3">
      <c r="I798" s="1"/>
      <c r="S798" s="1"/>
    </row>
    <row r="799" spans="9:19" x14ac:dyDescent="0.3">
      <c r="I799" s="1"/>
      <c r="S799" s="1"/>
    </row>
    <row r="800" spans="9:19" x14ac:dyDescent="0.3">
      <c r="I800" s="1"/>
      <c r="S800" s="1"/>
    </row>
    <row r="801" spans="9:19" x14ac:dyDescent="0.3">
      <c r="I801" s="1"/>
      <c r="S801" s="1"/>
    </row>
    <row r="802" spans="9:19" x14ac:dyDescent="0.3">
      <c r="I802" s="1"/>
      <c r="S802" s="1"/>
    </row>
    <row r="803" spans="9:19" x14ac:dyDescent="0.3">
      <c r="I803" s="1"/>
      <c r="S803" s="1"/>
    </row>
    <row r="804" spans="9:19" x14ac:dyDescent="0.3">
      <c r="I804" s="1"/>
      <c r="S804" s="1"/>
    </row>
    <row r="805" spans="9:19" x14ac:dyDescent="0.3">
      <c r="I805" s="1"/>
      <c r="S805" s="1"/>
    </row>
    <row r="806" spans="9:19" x14ac:dyDescent="0.3">
      <c r="I806" s="1"/>
      <c r="S806" s="1"/>
    </row>
    <row r="807" spans="9:19" x14ac:dyDescent="0.3">
      <c r="I807" s="1"/>
      <c r="S807" s="1"/>
    </row>
    <row r="808" spans="9:19" x14ac:dyDescent="0.3">
      <c r="I808" s="1"/>
      <c r="S808" s="1"/>
    </row>
    <row r="809" spans="9:19" x14ac:dyDescent="0.3">
      <c r="I809" s="1"/>
      <c r="S809" s="1"/>
    </row>
    <row r="810" spans="9:19" x14ac:dyDescent="0.3">
      <c r="I810" s="1"/>
      <c r="S810" s="1"/>
    </row>
    <row r="811" spans="9:19" x14ac:dyDescent="0.3">
      <c r="I811" s="1"/>
      <c r="S811" s="1"/>
    </row>
    <row r="812" spans="9:19" x14ac:dyDescent="0.3">
      <c r="I812" s="1"/>
      <c r="S812" s="1"/>
    </row>
    <row r="813" spans="9:19" x14ac:dyDescent="0.3">
      <c r="I813" s="1"/>
      <c r="S813" s="1"/>
    </row>
    <row r="814" spans="9:19" x14ac:dyDescent="0.3">
      <c r="I814" s="1"/>
      <c r="S814" s="1"/>
    </row>
    <row r="815" spans="9:19" x14ac:dyDescent="0.3">
      <c r="I815" s="1"/>
      <c r="S815" s="1"/>
    </row>
    <row r="816" spans="9:19" x14ac:dyDescent="0.3">
      <c r="I816" s="1"/>
      <c r="S816" s="1"/>
    </row>
    <row r="817" spans="9:19" x14ac:dyDescent="0.3">
      <c r="I817" s="1"/>
      <c r="S817" s="1"/>
    </row>
    <row r="818" spans="9:19" x14ac:dyDescent="0.3">
      <c r="I818" s="1"/>
      <c r="S818" s="1"/>
    </row>
    <row r="819" spans="9:19" x14ac:dyDescent="0.3">
      <c r="I819" s="1"/>
      <c r="S819" s="1"/>
    </row>
    <row r="820" spans="9:19" x14ac:dyDescent="0.3">
      <c r="I820" s="1"/>
      <c r="S820" s="1"/>
    </row>
    <row r="821" spans="9:19" x14ac:dyDescent="0.3">
      <c r="I821" s="1"/>
      <c r="S821" s="1"/>
    </row>
    <row r="822" spans="9:19" x14ac:dyDescent="0.3">
      <c r="I822" s="1"/>
      <c r="S822" s="1"/>
    </row>
    <row r="823" spans="9:19" x14ac:dyDescent="0.3">
      <c r="I823" s="1"/>
      <c r="S823" s="1"/>
    </row>
    <row r="824" spans="9:19" x14ac:dyDescent="0.3">
      <c r="I824" s="1"/>
      <c r="S824" s="1"/>
    </row>
    <row r="825" spans="9:19" x14ac:dyDescent="0.3">
      <c r="I825" s="1"/>
      <c r="S825" s="1"/>
    </row>
    <row r="826" spans="9:19" x14ac:dyDescent="0.3">
      <c r="I826" s="1"/>
      <c r="S826" s="1"/>
    </row>
    <row r="827" spans="9:19" x14ac:dyDescent="0.3">
      <c r="I827" s="1"/>
      <c r="S827" s="1"/>
    </row>
    <row r="828" spans="9:19" x14ac:dyDescent="0.3">
      <c r="I828" s="1"/>
      <c r="S828" s="1"/>
    </row>
    <row r="829" spans="9:19" x14ac:dyDescent="0.3">
      <c r="I829" s="1"/>
      <c r="S829" s="1"/>
    </row>
    <row r="830" spans="9:19" x14ac:dyDescent="0.3">
      <c r="I830" s="1"/>
      <c r="S830" s="1"/>
    </row>
    <row r="831" spans="9:19" x14ac:dyDescent="0.3">
      <c r="I831" s="1"/>
      <c r="S831" s="1"/>
    </row>
    <row r="832" spans="9:19" x14ac:dyDescent="0.3">
      <c r="I832" s="1"/>
      <c r="S832" s="1"/>
    </row>
    <row r="833" spans="9:19" x14ac:dyDescent="0.3">
      <c r="I833" s="1"/>
      <c r="S833" s="1"/>
    </row>
    <row r="834" spans="9:19" x14ac:dyDescent="0.3">
      <c r="I834" s="1"/>
      <c r="S834" s="1"/>
    </row>
    <row r="835" spans="9:19" x14ac:dyDescent="0.3">
      <c r="I835" s="1"/>
      <c r="S835" s="1"/>
    </row>
    <row r="836" spans="9:19" x14ac:dyDescent="0.3">
      <c r="I836" s="1"/>
      <c r="S836" s="1"/>
    </row>
    <row r="837" spans="9:19" x14ac:dyDescent="0.3">
      <c r="I837" s="1"/>
      <c r="S837" s="1"/>
    </row>
    <row r="838" spans="9:19" x14ac:dyDescent="0.3">
      <c r="I838" s="1"/>
      <c r="S838" s="1"/>
    </row>
    <row r="839" spans="9:19" x14ac:dyDescent="0.3">
      <c r="I839" s="1"/>
      <c r="S839" s="1"/>
    </row>
    <row r="840" spans="9:19" x14ac:dyDescent="0.3">
      <c r="I840" s="1"/>
      <c r="S840" s="1"/>
    </row>
    <row r="841" spans="9:19" x14ac:dyDescent="0.3">
      <c r="I841" s="1"/>
      <c r="S841" s="1"/>
    </row>
    <row r="842" spans="9:19" x14ac:dyDescent="0.3">
      <c r="I842" s="1"/>
      <c r="S842" s="1"/>
    </row>
    <row r="843" spans="9:19" x14ac:dyDescent="0.3">
      <c r="I843" s="1"/>
      <c r="S843" s="1"/>
    </row>
    <row r="844" spans="9:19" x14ac:dyDescent="0.3">
      <c r="I844" s="1"/>
      <c r="S844" s="1"/>
    </row>
    <row r="845" spans="9:19" x14ac:dyDescent="0.3">
      <c r="I845" s="1"/>
      <c r="S845" s="1"/>
    </row>
    <row r="846" spans="9:19" x14ac:dyDescent="0.3">
      <c r="I846" s="1"/>
      <c r="S846" s="1"/>
    </row>
    <row r="847" spans="9:19" x14ac:dyDescent="0.3">
      <c r="I847" s="1"/>
      <c r="S847" s="1"/>
    </row>
    <row r="848" spans="9:19" x14ac:dyDescent="0.3">
      <c r="I848" s="1"/>
      <c r="S848" s="1"/>
    </row>
    <row r="849" spans="9:19" x14ac:dyDescent="0.3">
      <c r="I849" s="1"/>
      <c r="S849" s="1"/>
    </row>
    <row r="850" spans="9:19" x14ac:dyDescent="0.3">
      <c r="I850" s="1"/>
      <c r="S850" s="1"/>
    </row>
    <row r="851" spans="9:19" x14ac:dyDescent="0.3">
      <c r="I851" s="1"/>
      <c r="S851" s="1"/>
    </row>
    <row r="852" spans="9:19" x14ac:dyDescent="0.3">
      <c r="I852" s="1"/>
      <c r="S852" s="1"/>
    </row>
    <row r="853" spans="9:19" x14ac:dyDescent="0.3">
      <c r="I853" s="1"/>
      <c r="S853" s="1"/>
    </row>
    <row r="854" spans="9:19" x14ac:dyDescent="0.3">
      <c r="I854" s="1"/>
      <c r="S854" s="1"/>
    </row>
    <row r="855" spans="9:19" x14ac:dyDescent="0.3">
      <c r="I855" s="1"/>
      <c r="S855" s="1"/>
    </row>
    <row r="856" spans="9:19" x14ac:dyDescent="0.3">
      <c r="I856" s="1"/>
      <c r="S856" s="1"/>
    </row>
    <row r="857" spans="9:19" x14ac:dyDescent="0.3">
      <c r="I857" s="1"/>
      <c r="S857" s="1"/>
    </row>
    <row r="858" spans="9:19" x14ac:dyDescent="0.3">
      <c r="I858" s="1"/>
      <c r="S858" s="1"/>
    </row>
    <row r="859" spans="9:19" x14ac:dyDescent="0.3">
      <c r="I859" s="1"/>
      <c r="S859" s="1"/>
    </row>
    <row r="860" spans="9:19" x14ac:dyDescent="0.3">
      <c r="I860" s="1"/>
      <c r="S860" s="1"/>
    </row>
    <row r="861" spans="9:19" x14ac:dyDescent="0.3">
      <c r="I861" s="1"/>
      <c r="S861" s="1"/>
    </row>
    <row r="862" spans="9:19" x14ac:dyDescent="0.3">
      <c r="I862" s="1"/>
      <c r="S862" s="1"/>
    </row>
    <row r="863" spans="9:19" x14ac:dyDescent="0.3">
      <c r="I863" s="1"/>
      <c r="S863" s="1"/>
    </row>
    <row r="864" spans="9:19" x14ac:dyDescent="0.3">
      <c r="I864" s="1"/>
      <c r="S864" s="1"/>
    </row>
    <row r="865" spans="9:19" x14ac:dyDescent="0.3">
      <c r="I865" s="1"/>
      <c r="S865" s="1"/>
    </row>
    <row r="866" spans="9:19" x14ac:dyDescent="0.3">
      <c r="I866" s="1"/>
      <c r="S866" s="1"/>
    </row>
    <row r="867" spans="9:19" x14ac:dyDescent="0.3">
      <c r="I867" s="1"/>
      <c r="S867" s="1"/>
    </row>
    <row r="868" spans="9:19" x14ac:dyDescent="0.3">
      <c r="I868" s="1"/>
      <c r="S868" s="1"/>
    </row>
    <row r="869" spans="9:19" x14ac:dyDescent="0.3">
      <c r="I869" s="1"/>
      <c r="S869" s="1"/>
    </row>
    <row r="870" spans="9:19" x14ac:dyDescent="0.3">
      <c r="I870" s="1"/>
      <c r="S870" s="1"/>
    </row>
    <row r="871" spans="9:19" x14ac:dyDescent="0.3">
      <c r="I871" s="1"/>
      <c r="S871" s="1"/>
    </row>
    <row r="872" spans="9:19" x14ac:dyDescent="0.3">
      <c r="I872" s="1"/>
      <c r="S872" s="1"/>
    </row>
    <row r="873" spans="9:19" x14ac:dyDescent="0.3">
      <c r="I873" s="1"/>
      <c r="S873" s="1"/>
    </row>
    <row r="874" spans="9:19" x14ac:dyDescent="0.3">
      <c r="I874" s="1"/>
      <c r="S874" s="1"/>
    </row>
    <row r="875" spans="9:19" x14ac:dyDescent="0.3">
      <c r="I875" s="1"/>
      <c r="S875" s="1"/>
    </row>
    <row r="876" spans="9:19" x14ac:dyDescent="0.3">
      <c r="I876" s="1"/>
      <c r="S876" s="1"/>
    </row>
    <row r="877" spans="9:19" x14ac:dyDescent="0.3">
      <c r="I877" s="1"/>
      <c r="S877" s="1"/>
    </row>
    <row r="878" spans="9:19" x14ac:dyDescent="0.3">
      <c r="I878" s="1"/>
      <c r="S878" s="1"/>
    </row>
    <row r="879" spans="9:19" x14ac:dyDescent="0.3">
      <c r="I879" s="1"/>
      <c r="S879" s="1"/>
    </row>
    <row r="880" spans="9:19" x14ac:dyDescent="0.3">
      <c r="I880" s="1"/>
      <c r="S880" s="1"/>
    </row>
    <row r="881" spans="9:19" x14ac:dyDescent="0.3">
      <c r="I881" s="1"/>
      <c r="S881" s="1"/>
    </row>
    <row r="882" spans="9:19" x14ac:dyDescent="0.3">
      <c r="I882" s="1"/>
      <c r="S882" s="1"/>
    </row>
    <row r="883" spans="9:19" x14ac:dyDescent="0.3">
      <c r="I883" s="1"/>
      <c r="S883" s="1"/>
    </row>
    <row r="884" spans="9:19" x14ac:dyDescent="0.3">
      <c r="I884" s="1"/>
      <c r="S884" s="1"/>
    </row>
    <row r="885" spans="9:19" x14ac:dyDescent="0.3">
      <c r="I885" s="1"/>
      <c r="S885" s="1"/>
    </row>
    <row r="886" spans="9:19" x14ac:dyDescent="0.3">
      <c r="I886" s="1"/>
      <c r="S886" s="1"/>
    </row>
    <row r="887" spans="9:19" x14ac:dyDescent="0.3">
      <c r="I887" s="1"/>
      <c r="S887" s="1"/>
    </row>
    <row r="888" spans="9:19" x14ac:dyDescent="0.3">
      <c r="I888" s="1"/>
      <c r="S888" s="1"/>
    </row>
    <row r="889" spans="9:19" x14ac:dyDescent="0.3">
      <c r="I889" s="1"/>
      <c r="S889" s="1"/>
    </row>
    <row r="890" spans="9:19" x14ac:dyDescent="0.3">
      <c r="I890" s="1"/>
      <c r="S890" s="1"/>
    </row>
    <row r="891" spans="9:19" x14ac:dyDescent="0.3">
      <c r="I891" s="1"/>
      <c r="S891" s="1"/>
    </row>
    <row r="892" spans="9:19" x14ac:dyDescent="0.3">
      <c r="I892" s="1"/>
      <c r="S892" s="1"/>
    </row>
    <row r="893" spans="9:19" x14ac:dyDescent="0.3">
      <c r="I893" s="1"/>
      <c r="S893" s="1"/>
    </row>
    <row r="894" spans="9:19" x14ac:dyDescent="0.3">
      <c r="I894" s="1"/>
      <c r="S894" s="1"/>
    </row>
    <row r="895" spans="9:19" x14ac:dyDescent="0.3">
      <c r="I895" s="1"/>
      <c r="S895" s="1"/>
    </row>
    <row r="896" spans="9:19" x14ac:dyDescent="0.3">
      <c r="I896" s="1"/>
      <c r="S896" s="1"/>
    </row>
    <row r="897" spans="9:19" x14ac:dyDescent="0.3">
      <c r="I897" s="1"/>
      <c r="S897" s="1"/>
    </row>
    <row r="898" spans="9:19" x14ac:dyDescent="0.3">
      <c r="I898" s="1"/>
      <c r="S898" s="1"/>
    </row>
    <row r="899" spans="9:19" x14ac:dyDescent="0.3">
      <c r="I899" s="1"/>
      <c r="S899" s="1"/>
    </row>
    <row r="900" spans="9:19" x14ac:dyDescent="0.3">
      <c r="I900" s="1"/>
      <c r="S900" s="1"/>
    </row>
    <row r="901" spans="9:19" x14ac:dyDescent="0.3">
      <c r="I901" s="1"/>
      <c r="S901" s="1"/>
    </row>
    <row r="902" spans="9:19" x14ac:dyDescent="0.3">
      <c r="I902" s="1"/>
      <c r="S902" s="1"/>
    </row>
    <row r="903" spans="9:19" x14ac:dyDescent="0.3">
      <c r="I903" s="1"/>
      <c r="S903" s="1"/>
    </row>
    <row r="904" spans="9:19" x14ac:dyDescent="0.3">
      <c r="I904" s="1"/>
      <c r="S904" s="1"/>
    </row>
    <row r="905" spans="9:19" x14ac:dyDescent="0.3">
      <c r="I905" s="1"/>
      <c r="S905" s="1"/>
    </row>
    <row r="906" spans="9:19" x14ac:dyDescent="0.3">
      <c r="I906" s="1"/>
      <c r="S906" s="1"/>
    </row>
    <row r="907" spans="9:19" x14ac:dyDescent="0.3">
      <c r="I907" s="1"/>
      <c r="S907" s="1"/>
    </row>
    <row r="908" spans="9:19" x14ac:dyDescent="0.3">
      <c r="I908" s="1"/>
      <c r="S908" s="1"/>
    </row>
    <row r="909" spans="9:19" x14ac:dyDescent="0.3">
      <c r="I909" s="1"/>
      <c r="S909" s="1"/>
    </row>
    <row r="910" spans="9:19" x14ac:dyDescent="0.3">
      <c r="I910" s="1"/>
      <c r="S910" s="1"/>
    </row>
    <row r="911" spans="9:19" x14ac:dyDescent="0.3">
      <c r="I911" s="1"/>
      <c r="S911" s="1"/>
    </row>
    <row r="912" spans="9:19" x14ac:dyDescent="0.3">
      <c r="I912" s="1"/>
      <c r="S912" s="1"/>
    </row>
    <row r="913" spans="9:19" x14ac:dyDescent="0.3">
      <c r="I913" s="1"/>
      <c r="S913" s="1"/>
    </row>
    <row r="914" spans="9:19" x14ac:dyDescent="0.3">
      <c r="I914" s="1"/>
      <c r="S914" s="1"/>
    </row>
    <row r="915" spans="9:19" x14ac:dyDescent="0.3">
      <c r="I915" s="1"/>
      <c r="S915" s="1"/>
    </row>
    <row r="916" spans="9:19" x14ac:dyDescent="0.3">
      <c r="I916" s="1"/>
      <c r="S916" s="1"/>
    </row>
    <row r="917" spans="9:19" x14ac:dyDescent="0.3">
      <c r="I917" s="1"/>
      <c r="S917" s="1"/>
    </row>
    <row r="918" spans="9:19" x14ac:dyDescent="0.3">
      <c r="I918" s="1"/>
      <c r="S918" s="1"/>
    </row>
    <row r="919" spans="9:19" x14ac:dyDescent="0.3">
      <c r="I919" s="1"/>
      <c r="S919" s="1"/>
    </row>
    <row r="920" spans="9:19" x14ac:dyDescent="0.3">
      <c r="I920" s="1"/>
      <c r="S920" s="1"/>
    </row>
    <row r="921" spans="9:19" x14ac:dyDescent="0.3">
      <c r="I921" s="1"/>
      <c r="S921" s="1"/>
    </row>
    <row r="922" spans="9:19" x14ac:dyDescent="0.3">
      <c r="I922" s="1"/>
      <c r="S922" s="1"/>
    </row>
    <row r="923" spans="9:19" x14ac:dyDescent="0.3">
      <c r="I923" s="1"/>
      <c r="S923" s="1"/>
    </row>
    <row r="924" spans="9:19" x14ac:dyDescent="0.3">
      <c r="I924" s="1"/>
      <c r="S924" s="1"/>
    </row>
    <row r="925" spans="9:19" x14ac:dyDescent="0.3">
      <c r="I925" s="1"/>
      <c r="S925" s="1"/>
    </row>
    <row r="926" spans="9:19" x14ac:dyDescent="0.3">
      <c r="I926" s="1"/>
      <c r="S926" s="1"/>
    </row>
    <row r="927" spans="9:19" x14ac:dyDescent="0.3">
      <c r="I927" s="1"/>
      <c r="S927" s="1"/>
    </row>
    <row r="928" spans="9:19" x14ac:dyDescent="0.3">
      <c r="I928" s="1"/>
      <c r="S928" s="1"/>
    </row>
    <row r="929" spans="9:19" x14ac:dyDescent="0.3">
      <c r="I929" s="1"/>
      <c r="S929" s="1"/>
    </row>
    <row r="930" spans="9:19" x14ac:dyDescent="0.3">
      <c r="I930" s="1"/>
      <c r="S930" s="1"/>
    </row>
    <row r="931" spans="9:19" x14ac:dyDescent="0.3">
      <c r="I931" s="1"/>
      <c r="S931" s="1"/>
    </row>
    <row r="932" spans="9:19" x14ac:dyDescent="0.3">
      <c r="I932" s="1"/>
      <c r="S932" s="1"/>
    </row>
    <row r="933" spans="9:19" x14ac:dyDescent="0.3">
      <c r="I933" s="1"/>
      <c r="S933" s="1"/>
    </row>
    <row r="934" spans="9:19" x14ac:dyDescent="0.3">
      <c r="I934" s="1"/>
      <c r="S934" s="1"/>
    </row>
    <row r="935" spans="9:19" x14ac:dyDescent="0.3">
      <c r="I935" s="1"/>
      <c r="S935" s="1"/>
    </row>
    <row r="936" spans="9:19" x14ac:dyDescent="0.3">
      <c r="I936" s="1"/>
      <c r="S936" s="1"/>
    </row>
    <row r="937" spans="9:19" x14ac:dyDescent="0.3">
      <c r="I937" s="1"/>
      <c r="S937" s="1"/>
    </row>
    <row r="938" spans="9:19" x14ac:dyDescent="0.3">
      <c r="I938" s="1"/>
      <c r="S938" s="1"/>
    </row>
    <row r="939" spans="9:19" x14ac:dyDescent="0.3">
      <c r="I939" s="1"/>
      <c r="S939" s="1"/>
    </row>
    <row r="940" spans="9:19" x14ac:dyDescent="0.3">
      <c r="I940" s="1"/>
      <c r="S940" s="1"/>
    </row>
    <row r="941" spans="9:19" x14ac:dyDescent="0.3">
      <c r="I941" s="1"/>
      <c r="S941" s="1"/>
    </row>
    <row r="942" spans="9:19" x14ac:dyDescent="0.3">
      <c r="I942" s="1"/>
      <c r="S942" s="1"/>
    </row>
    <row r="943" spans="9:19" x14ac:dyDescent="0.3">
      <c r="I943" s="1"/>
      <c r="S943" s="1"/>
    </row>
    <row r="944" spans="9:19" x14ac:dyDescent="0.3">
      <c r="I944" s="1"/>
      <c r="S944" s="1"/>
    </row>
    <row r="945" spans="9:19" x14ac:dyDescent="0.3">
      <c r="I945" s="1"/>
      <c r="S945" s="1"/>
    </row>
    <row r="946" spans="9:19" x14ac:dyDescent="0.3">
      <c r="I946" s="1"/>
      <c r="S946" s="1"/>
    </row>
    <row r="947" spans="9:19" x14ac:dyDescent="0.3">
      <c r="I947" s="1"/>
      <c r="S947" s="1"/>
    </row>
    <row r="948" spans="9:19" x14ac:dyDescent="0.3">
      <c r="I948" s="1"/>
      <c r="S948" s="1"/>
    </row>
    <row r="949" spans="9:19" x14ac:dyDescent="0.3">
      <c r="I949" s="1"/>
      <c r="S949" s="1"/>
    </row>
    <row r="950" spans="9:19" x14ac:dyDescent="0.3">
      <c r="I950" s="1"/>
      <c r="S950" s="1"/>
    </row>
    <row r="951" spans="9:19" x14ac:dyDescent="0.3">
      <c r="I951" s="1"/>
      <c r="S951" s="1"/>
    </row>
    <row r="952" spans="9:19" x14ac:dyDescent="0.3">
      <c r="I952" s="1"/>
      <c r="S952" s="1"/>
    </row>
    <row r="953" spans="9:19" x14ac:dyDescent="0.3">
      <c r="I953" s="1"/>
      <c r="S953" s="1"/>
    </row>
    <row r="954" spans="9:19" x14ac:dyDescent="0.3">
      <c r="I954" s="1"/>
      <c r="S954" s="1"/>
    </row>
    <row r="955" spans="9:19" x14ac:dyDescent="0.3">
      <c r="I955" s="1"/>
      <c r="S955" s="1"/>
    </row>
    <row r="956" spans="9:19" x14ac:dyDescent="0.3">
      <c r="I956" s="1"/>
      <c r="S956" s="1"/>
    </row>
    <row r="957" spans="9:19" x14ac:dyDescent="0.3">
      <c r="I957" s="1"/>
      <c r="S957" s="1"/>
    </row>
    <row r="958" spans="9:19" x14ac:dyDescent="0.3">
      <c r="I958" s="1"/>
      <c r="S958" s="1"/>
    </row>
    <row r="959" spans="9:19" x14ac:dyDescent="0.3">
      <c r="I959" s="1"/>
      <c r="S959" s="1"/>
    </row>
    <row r="960" spans="9:19" x14ac:dyDescent="0.3">
      <c r="I960" s="1"/>
      <c r="S960" s="1"/>
    </row>
    <row r="961" spans="9:19" x14ac:dyDescent="0.3">
      <c r="I961" s="1"/>
      <c r="S961" s="1"/>
    </row>
    <row r="962" spans="9:19" x14ac:dyDescent="0.3">
      <c r="I962" s="1"/>
      <c r="S962" s="1"/>
    </row>
    <row r="963" spans="9:19" x14ac:dyDescent="0.3">
      <c r="I963" s="1"/>
      <c r="S963" s="1"/>
    </row>
    <row r="964" spans="9:19" x14ac:dyDescent="0.3">
      <c r="I964" s="1"/>
      <c r="S964" s="1"/>
    </row>
    <row r="965" spans="9:19" x14ac:dyDescent="0.3">
      <c r="I965" s="1"/>
      <c r="S965" s="1"/>
    </row>
    <row r="966" spans="9:19" x14ac:dyDescent="0.3">
      <c r="I966" s="1"/>
      <c r="S966" s="1"/>
    </row>
    <row r="967" spans="9:19" x14ac:dyDescent="0.3">
      <c r="I967" s="1"/>
      <c r="S967" s="1"/>
    </row>
    <row r="968" spans="9:19" x14ac:dyDescent="0.3">
      <c r="I968" s="1"/>
      <c r="S968" s="1"/>
    </row>
    <row r="969" spans="9:19" x14ac:dyDescent="0.3">
      <c r="I969" s="1"/>
      <c r="S969" s="1"/>
    </row>
    <row r="970" spans="9:19" x14ac:dyDescent="0.3">
      <c r="I970" s="1"/>
      <c r="S970" s="1"/>
    </row>
    <row r="971" spans="9:19" x14ac:dyDescent="0.3">
      <c r="I971" s="1"/>
      <c r="S971" s="1"/>
    </row>
    <row r="972" spans="9:19" x14ac:dyDescent="0.3">
      <c r="I972" s="1"/>
      <c r="S972" s="1"/>
    </row>
    <row r="973" spans="9:19" x14ac:dyDescent="0.3">
      <c r="I973" s="1"/>
      <c r="S973" s="1"/>
    </row>
    <row r="974" spans="9:19" x14ac:dyDescent="0.3">
      <c r="I974" s="1"/>
      <c r="S974" s="1"/>
    </row>
    <row r="975" spans="9:19" x14ac:dyDescent="0.3">
      <c r="I975" s="1"/>
      <c r="S975" s="1"/>
    </row>
    <row r="976" spans="9:19" x14ac:dyDescent="0.3">
      <c r="I976" s="1"/>
      <c r="S976" s="1"/>
    </row>
    <row r="977" spans="9:19" x14ac:dyDescent="0.3">
      <c r="I977" s="1"/>
      <c r="S977" s="1"/>
    </row>
    <row r="978" spans="9:19" x14ac:dyDescent="0.3">
      <c r="I978" s="1"/>
      <c r="S978" s="1"/>
    </row>
    <row r="979" spans="9:19" x14ac:dyDescent="0.3">
      <c r="I979" s="1"/>
      <c r="S979" s="1"/>
    </row>
    <row r="980" spans="9:19" x14ac:dyDescent="0.3">
      <c r="I980" s="1"/>
      <c r="S980" s="1"/>
    </row>
    <row r="981" spans="9:19" x14ac:dyDescent="0.3">
      <c r="I981" s="1"/>
      <c r="S981" s="1"/>
    </row>
    <row r="982" spans="9:19" x14ac:dyDescent="0.3">
      <c r="I982" s="1"/>
      <c r="S982" s="1"/>
    </row>
    <row r="983" spans="9:19" x14ac:dyDescent="0.3">
      <c r="I983" s="1"/>
      <c r="S983" s="1"/>
    </row>
    <row r="984" spans="9:19" x14ac:dyDescent="0.3">
      <c r="I984" s="1"/>
      <c r="S984" s="1"/>
    </row>
    <row r="985" spans="9:19" x14ac:dyDescent="0.3">
      <c r="I985" s="1"/>
      <c r="S985" s="1"/>
    </row>
    <row r="986" spans="9:19" x14ac:dyDescent="0.3">
      <c r="I986" s="1"/>
      <c r="S986" s="1"/>
    </row>
    <row r="987" spans="9:19" x14ac:dyDescent="0.3">
      <c r="I987" s="1"/>
      <c r="S987" s="1"/>
    </row>
    <row r="988" spans="9:19" x14ac:dyDescent="0.3">
      <c r="I988" s="1"/>
      <c r="S988" s="1"/>
    </row>
    <row r="989" spans="9:19" x14ac:dyDescent="0.3">
      <c r="I989" s="1"/>
      <c r="S989" s="1"/>
    </row>
    <row r="990" spans="9:19" x14ac:dyDescent="0.3">
      <c r="I990" s="1"/>
      <c r="S990" s="1"/>
    </row>
    <row r="991" spans="9:19" x14ac:dyDescent="0.3">
      <c r="I991" s="1"/>
      <c r="S991" s="1"/>
    </row>
    <row r="992" spans="9:19" x14ac:dyDescent="0.3">
      <c r="I992" s="1"/>
      <c r="S992" s="1"/>
    </row>
    <row r="993" spans="9:19" x14ac:dyDescent="0.3">
      <c r="I993" s="1"/>
      <c r="S993" s="1"/>
    </row>
    <row r="994" spans="9:19" x14ac:dyDescent="0.3">
      <c r="I994" s="1"/>
      <c r="S994" s="1"/>
    </row>
    <row r="995" spans="9:19" x14ac:dyDescent="0.3">
      <c r="I995" s="1"/>
      <c r="S995" s="1"/>
    </row>
    <row r="996" spans="9:19" x14ac:dyDescent="0.3">
      <c r="I996" s="1"/>
      <c r="S996" s="1"/>
    </row>
    <row r="997" spans="9:19" x14ac:dyDescent="0.3">
      <c r="I997" s="1"/>
      <c r="S997" s="1"/>
    </row>
    <row r="998" spans="9:19" x14ac:dyDescent="0.3">
      <c r="I998" s="1"/>
      <c r="S998" s="1"/>
    </row>
    <row r="999" spans="9:19" x14ac:dyDescent="0.3">
      <c r="I999" s="1"/>
      <c r="S999" s="1"/>
    </row>
    <row r="1000" spans="9:19" x14ac:dyDescent="0.3">
      <c r="I1000" s="1"/>
      <c r="S1000" s="1"/>
    </row>
    <row r="1001" spans="9:19" x14ac:dyDescent="0.3">
      <c r="I1001" s="1"/>
      <c r="S1001" s="1"/>
    </row>
    <row r="1002" spans="9:19" x14ac:dyDescent="0.3">
      <c r="I1002" s="1"/>
      <c r="S1002" s="1"/>
    </row>
    <row r="1003" spans="9:19" x14ac:dyDescent="0.3">
      <c r="I1003" s="1"/>
      <c r="S1003" s="1"/>
    </row>
    <row r="1004" spans="9:19" x14ac:dyDescent="0.3">
      <c r="I1004" s="1"/>
      <c r="S1004" s="1"/>
    </row>
    <row r="1005" spans="9:19" x14ac:dyDescent="0.3">
      <c r="I1005" s="1"/>
      <c r="S1005" s="1"/>
    </row>
    <row r="1006" spans="9:19" x14ac:dyDescent="0.3">
      <c r="I1006" s="1"/>
      <c r="S1006" s="1"/>
    </row>
    <row r="1007" spans="9:19" x14ac:dyDescent="0.3">
      <c r="I1007" s="1"/>
      <c r="S1007" s="1"/>
    </row>
    <row r="1008" spans="9:19" x14ac:dyDescent="0.3">
      <c r="I1008" s="1"/>
      <c r="S1008" s="1"/>
    </row>
    <row r="1009" spans="9:19" x14ac:dyDescent="0.3">
      <c r="I1009" s="1"/>
      <c r="S1009" s="1"/>
    </row>
    <row r="1010" spans="9:19" x14ac:dyDescent="0.3">
      <c r="I1010" s="1"/>
      <c r="S1010" s="1"/>
    </row>
    <row r="1011" spans="9:19" x14ac:dyDescent="0.3">
      <c r="I1011" s="1"/>
      <c r="S1011" s="1"/>
    </row>
    <row r="1012" spans="9:19" x14ac:dyDescent="0.3">
      <c r="I1012" s="1"/>
      <c r="S1012" s="1"/>
    </row>
    <row r="1013" spans="9:19" x14ac:dyDescent="0.3">
      <c r="I1013" s="1"/>
      <c r="S1013" s="1"/>
    </row>
    <row r="1014" spans="9:19" x14ac:dyDescent="0.3">
      <c r="I1014" s="1"/>
      <c r="S1014" s="1"/>
    </row>
    <row r="1015" spans="9:19" x14ac:dyDescent="0.3">
      <c r="I1015" s="1"/>
      <c r="S1015" s="1"/>
    </row>
    <row r="1016" spans="9:19" x14ac:dyDescent="0.3">
      <c r="I1016" s="1"/>
      <c r="S1016" s="1"/>
    </row>
    <row r="1017" spans="9:19" x14ac:dyDescent="0.3">
      <c r="I1017" s="1"/>
      <c r="S1017" s="1"/>
    </row>
    <row r="1018" spans="9:19" x14ac:dyDescent="0.3">
      <c r="I1018" s="1"/>
      <c r="S1018" s="1"/>
    </row>
    <row r="1019" spans="9:19" x14ac:dyDescent="0.3">
      <c r="I1019" s="1"/>
      <c r="S1019" s="1"/>
    </row>
    <row r="1020" spans="9:19" x14ac:dyDescent="0.3">
      <c r="I1020" s="1"/>
      <c r="S1020" s="1"/>
    </row>
    <row r="1021" spans="9:19" x14ac:dyDescent="0.3">
      <c r="I1021" s="1"/>
      <c r="S1021" s="1"/>
    </row>
    <row r="1022" spans="9:19" x14ac:dyDescent="0.3">
      <c r="I1022" s="1"/>
      <c r="S1022" s="1"/>
    </row>
    <row r="1023" spans="9:19" x14ac:dyDescent="0.3">
      <c r="I1023" s="1"/>
      <c r="S1023" s="1"/>
    </row>
    <row r="1024" spans="9:19" x14ac:dyDescent="0.3">
      <c r="I1024" s="1"/>
      <c r="S1024" s="1"/>
    </row>
    <row r="1025" spans="9:19" x14ac:dyDescent="0.3">
      <c r="I1025" s="1"/>
      <c r="S1025" s="1"/>
    </row>
    <row r="1026" spans="9:19" x14ac:dyDescent="0.3">
      <c r="I1026" s="1"/>
      <c r="S1026" s="1"/>
    </row>
    <row r="1027" spans="9:19" x14ac:dyDescent="0.3">
      <c r="I1027" s="1"/>
      <c r="S1027" s="1"/>
    </row>
    <row r="1028" spans="9:19" x14ac:dyDescent="0.3">
      <c r="I1028" s="1"/>
      <c r="S1028" s="1"/>
    </row>
    <row r="1029" spans="9:19" x14ac:dyDescent="0.3">
      <c r="I1029" s="1"/>
      <c r="S1029" s="1"/>
    </row>
    <row r="1030" spans="9:19" x14ac:dyDescent="0.3">
      <c r="I1030" s="1"/>
      <c r="S1030" s="1"/>
    </row>
    <row r="1031" spans="9:19" x14ac:dyDescent="0.3">
      <c r="I1031" s="1"/>
      <c r="S1031" s="1"/>
    </row>
    <row r="1032" spans="9:19" x14ac:dyDescent="0.3">
      <c r="I1032" s="1"/>
      <c r="S1032" s="1"/>
    </row>
    <row r="1033" spans="9:19" x14ac:dyDescent="0.3">
      <c r="I1033" s="1"/>
      <c r="S1033" s="1"/>
    </row>
    <row r="1034" spans="9:19" x14ac:dyDescent="0.3">
      <c r="I1034" s="1"/>
      <c r="S1034" s="1"/>
    </row>
    <row r="1035" spans="9:19" x14ac:dyDescent="0.3">
      <c r="I1035" s="1"/>
      <c r="S1035" s="1"/>
    </row>
    <row r="1036" spans="9:19" x14ac:dyDescent="0.3">
      <c r="I1036" s="1"/>
      <c r="S1036" s="1"/>
    </row>
    <row r="1037" spans="9:19" x14ac:dyDescent="0.3">
      <c r="I1037" s="1"/>
      <c r="S1037" s="1"/>
    </row>
    <row r="1038" spans="9:19" x14ac:dyDescent="0.3">
      <c r="I1038" s="1"/>
      <c r="S1038" s="1"/>
    </row>
    <row r="1039" spans="9:19" x14ac:dyDescent="0.3">
      <c r="I1039" s="1"/>
      <c r="S1039" s="1"/>
    </row>
    <row r="1040" spans="9:19" x14ac:dyDescent="0.3">
      <c r="I1040" s="1"/>
      <c r="S1040" s="1"/>
    </row>
    <row r="1041" spans="9:19" x14ac:dyDescent="0.3">
      <c r="I1041" s="1"/>
      <c r="S1041" s="1"/>
    </row>
    <row r="1042" spans="9:19" x14ac:dyDescent="0.3">
      <c r="I1042" s="1"/>
      <c r="S1042" s="1"/>
    </row>
    <row r="1043" spans="9:19" x14ac:dyDescent="0.3">
      <c r="I1043" s="1"/>
      <c r="S1043" s="1"/>
    </row>
    <row r="1044" spans="9:19" x14ac:dyDescent="0.3">
      <c r="I1044" s="1"/>
      <c r="S1044" s="1"/>
    </row>
    <row r="1045" spans="9:19" x14ac:dyDescent="0.3">
      <c r="I1045" s="1"/>
      <c r="S1045" s="1"/>
    </row>
    <row r="1046" spans="9:19" x14ac:dyDescent="0.3">
      <c r="I1046" s="1"/>
      <c r="S1046" s="1"/>
    </row>
    <row r="1047" spans="9:19" x14ac:dyDescent="0.3">
      <c r="I1047" s="1"/>
      <c r="S1047" s="1"/>
    </row>
    <row r="1048" spans="9:19" x14ac:dyDescent="0.3">
      <c r="I1048" s="1"/>
      <c r="S1048" s="1"/>
    </row>
    <row r="1049" spans="9:19" x14ac:dyDescent="0.3">
      <c r="I1049" s="1"/>
      <c r="S1049" s="1"/>
    </row>
    <row r="1050" spans="9:19" x14ac:dyDescent="0.3">
      <c r="I1050" s="1"/>
      <c r="S1050" s="1"/>
    </row>
    <row r="1051" spans="9:19" x14ac:dyDescent="0.3">
      <c r="I1051" s="1"/>
      <c r="S1051" s="1"/>
    </row>
    <row r="1052" spans="9:19" x14ac:dyDescent="0.3">
      <c r="I1052" s="1"/>
      <c r="S1052" s="1"/>
    </row>
    <row r="1053" spans="9:19" x14ac:dyDescent="0.3">
      <c r="I1053" s="1"/>
      <c r="S1053" s="1"/>
    </row>
    <row r="1054" spans="9:19" x14ac:dyDescent="0.3">
      <c r="I1054" s="1"/>
      <c r="S1054" s="1"/>
    </row>
    <row r="1055" spans="9:19" x14ac:dyDescent="0.3">
      <c r="I1055" s="1"/>
      <c r="S1055" s="1"/>
    </row>
    <row r="1056" spans="9:19" x14ac:dyDescent="0.3">
      <c r="I1056" s="1"/>
      <c r="S1056" s="1"/>
    </row>
    <row r="1057" spans="9:19" x14ac:dyDescent="0.3">
      <c r="I1057" s="1"/>
      <c r="S1057" s="1"/>
    </row>
    <row r="1058" spans="9:19" x14ac:dyDescent="0.3">
      <c r="I1058" s="1"/>
      <c r="S1058" s="1"/>
    </row>
    <row r="1059" spans="9:19" x14ac:dyDescent="0.3">
      <c r="I1059" s="1"/>
      <c r="S1059" s="1"/>
    </row>
    <row r="1060" spans="9:19" x14ac:dyDescent="0.3">
      <c r="I1060" s="1"/>
      <c r="S1060" s="1"/>
    </row>
    <row r="1061" spans="9:19" x14ac:dyDescent="0.3">
      <c r="I1061" s="1"/>
      <c r="S1061" s="1"/>
    </row>
    <row r="1062" spans="9:19" x14ac:dyDescent="0.3">
      <c r="I1062" s="1"/>
      <c r="S1062" s="1"/>
    </row>
    <row r="1063" spans="9:19" x14ac:dyDescent="0.3">
      <c r="I1063" s="1"/>
      <c r="S1063" s="1"/>
    </row>
    <row r="1064" spans="9:19" x14ac:dyDescent="0.3">
      <c r="I1064" s="1"/>
      <c r="S1064" s="1"/>
    </row>
    <row r="1065" spans="9:19" x14ac:dyDescent="0.3">
      <c r="I1065" s="1"/>
      <c r="S1065" s="1"/>
    </row>
    <row r="1066" spans="9:19" x14ac:dyDescent="0.3">
      <c r="I1066" s="1"/>
      <c r="S1066" s="1"/>
    </row>
    <row r="1067" spans="9:19" x14ac:dyDescent="0.3">
      <c r="I1067" s="1"/>
      <c r="S1067" s="1"/>
    </row>
    <row r="1068" spans="9:19" x14ac:dyDescent="0.3">
      <c r="I1068" s="1"/>
      <c r="S1068" s="1"/>
    </row>
    <row r="1069" spans="9:19" x14ac:dyDescent="0.3">
      <c r="I1069" s="1"/>
      <c r="S1069" s="1"/>
    </row>
    <row r="1070" spans="9:19" x14ac:dyDescent="0.3">
      <c r="I1070" s="1"/>
      <c r="S1070" s="1"/>
    </row>
    <row r="1071" spans="9:19" x14ac:dyDescent="0.3">
      <c r="I1071" s="1"/>
      <c r="S1071" s="1"/>
    </row>
    <row r="1072" spans="9:19" x14ac:dyDescent="0.3">
      <c r="I1072" s="1"/>
      <c r="S1072" s="1"/>
    </row>
    <row r="1073" spans="9:19" x14ac:dyDescent="0.3">
      <c r="I1073" s="1"/>
      <c r="S1073" s="1"/>
    </row>
    <row r="1074" spans="9:19" x14ac:dyDescent="0.3">
      <c r="I1074" s="1"/>
      <c r="S1074" s="1"/>
    </row>
    <row r="1075" spans="9:19" x14ac:dyDescent="0.3">
      <c r="I1075" s="1"/>
      <c r="S1075" s="1"/>
    </row>
    <row r="1076" spans="9:19" x14ac:dyDescent="0.3">
      <c r="I1076" s="1"/>
      <c r="S1076" s="1"/>
    </row>
    <row r="1077" spans="9:19" x14ac:dyDescent="0.3">
      <c r="I1077" s="1"/>
      <c r="S1077" s="1"/>
    </row>
    <row r="1078" spans="9:19" x14ac:dyDescent="0.3">
      <c r="I1078" s="1"/>
      <c r="S1078" s="1"/>
    </row>
    <row r="1079" spans="9:19" x14ac:dyDescent="0.3">
      <c r="I1079" s="1"/>
      <c r="S1079" s="1"/>
    </row>
    <row r="1080" spans="9:19" x14ac:dyDescent="0.3">
      <c r="I1080" s="1"/>
      <c r="S1080" s="1"/>
    </row>
    <row r="1081" spans="9:19" x14ac:dyDescent="0.3">
      <c r="I1081" s="1"/>
      <c r="S1081" s="1"/>
    </row>
    <row r="1082" spans="9:19" x14ac:dyDescent="0.3">
      <c r="I1082" s="1"/>
      <c r="S1082" s="1"/>
    </row>
    <row r="1083" spans="9:19" x14ac:dyDescent="0.3">
      <c r="I1083" s="1"/>
      <c r="S1083" s="1"/>
    </row>
    <row r="1084" spans="9:19" x14ac:dyDescent="0.3">
      <c r="I1084" s="1"/>
      <c r="S1084" s="1"/>
    </row>
    <row r="1085" spans="9:19" x14ac:dyDescent="0.3">
      <c r="I1085" s="1"/>
      <c r="S1085" s="1"/>
    </row>
    <row r="1086" spans="9:19" x14ac:dyDescent="0.3">
      <c r="I1086" s="1"/>
      <c r="S1086" s="1"/>
    </row>
    <row r="1087" spans="9:19" x14ac:dyDescent="0.3">
      <c r="I1087" s="1"/>
      <c r="S1087" s="1"/>
    </row>
    <row r="1088" spans="9:19" x14ac:dyDescent="0.3">
      <c r="I1088" s="1"/>
      <c r="S1088" s="1"/>
    </row>
    <row r="1089" spans="9:19" x14ac:dyDescent="0.3">
      <c r="I1089" s="1"/>
      <c r="S1089" s="1"/>
    </row>
    <row r="1090" spans="9:19" x14ac:dyDescent="0.3">
      <c r="I1090" s="1"/>
      <c r="S1090" s="1"/>
    </row>
    <row r="1091" spans="9:19" x14ac:dyDescent="0.3">
      <c r="I1091" s="1"/>
      <c r="S1091" s="1"/>
    </row>
    <row r="1092" spans="9:19" x14ac:dyDescent="0.3">
      <c r="I1092" s="1"/>
      <c r="S1092" s="1"/>
    </row>
    <row r="1093" spans="9:19" x14ac:dyDescent="0.3">
      <c r="I1093" s="1"/>
      <c r="S1093" s="1"/>
    </row>
    <row r="1094" spans="9:19" x14ac:dyDescent="0.3">
      <c r="I1094" s="1"/>
      <c r="S1094" s="1"/>
    </row>
    <row r="1095" spans="9:19" x14ac:dyDescent="0.3">
      <c r="I1095" s="1"/>
      <c r="S1095" s="1"/>
    </row>
    <row r="1096" spans="9:19" x14ac:dyDescent="0.3">
      <c r="I1096" s="1"/>
      <c r="S1096" s="1"/>
    </row>
    <row r="1097" spans="9:19" x14ac:dyDescent="0.3">
      <c r="I1097" s="1"/>
      <c r="S1097" s="1"/>
    </row>
    <row r="1098" spans="9:19" x14ac:dyDescent="0.3">
      <c r="I1098" s="1"/>
      <c r="S1098" s="1"/>
    </row>
    <row r="1099" spans="9:19" x14ac:dyDescent="0.3">
      <c r="I1099" s="1"/>
      <c r="S1099" s="1"/>
    </row>
    <row r="1100" spans="9:19" x14ac:dyDescent="0.3">
      <c r="I1100" s="1"/>
      <c r="S1100" s="1"/>
    </row>
    <row r="1101" spans="9:19" x14ac:dyDescent="0.3">
      <c r="I1101" s="1"/>
      <c r="S1101" s="1"/>
    </row>
    <row r="1102" spans="9:19" x14ac:dyDescent="0.3">
      <c r="I1102" s="1"/>
      <c r="S1102" s="1"/>
    </row>
    <row r="1103" spans="9:19" x14ac:dyDescent="0.3">
      <c r="I1103" s="1"/>
      <c r="S1103" s="1"/>
    </row>
    <row r="1104" spans="9:19" x14ac:dyDescent="0.3">
      <c r="I1104" s="1"/>
      <c r="S1104" s="1"/>
    </row>
    <row r="1105" spans="9:19" x14ac:dyDescent="0.3">
      <c r="I1105" s="1"/>
      <c r="S1105" s="1"/>
    </row>
    <row r="1106" spans="9:19" x14ac:dyDescent="0.3">
      <c r="I1106" s="1"/>
      <c r="S1106" s="1"/>
    </row>
    <row r="1107" spans="9:19" x14ac:dyDescent="0.3">
      <c r="I1107" s="1"/>
      <c r="S1107" s="1"/>
    </row>
    <row r="1108" spans="9:19" x14ac:dyDescent="0.3">
      <c r="I1108" s="1"/>
      <c r="S1108" s="1"/>
    </row>
    <row r="1109" spans="9:19" x14ac:dyDescent="0.3">
      <c r="I1109" s="1"/>
      <c r="S1109" s="1"/>
    </row>
    <row r="1110" spans="9:19" x14ac:dyDescent="0.3">
      <c r="I1110" s="1"/>
      <c r="S1110" s="1"/>
    </row>
    <row r="1111" spans="9:19" x14ac:dyDescent="0.3">
      <c r="I1111" s="1"/>
      <c r="S1111" s="1"/>
    </row>
    <row r="1112" spans="9:19" x14ac:dyDescent="0.3">
      <c r="I1112" s="1"/>
      <c r="S1112" s="1"/>
    </row>
    <row r="1113" spans="9:19" x14ac:dyDescent="0.3">
      <c r="I1113" s="1"/>
      <c r="S1113" s="1"/>
    </row>
    <row r="1114" spans="9:19" x14ac:dyDescent="0.3">
      <c r="I1114" s="1"/>
      <c r="S1114" s="1"/>
    </row>
    <row r="1115" spans="9:19" x14ac:dyDescent="0.3">
      <c r="I1115" s="1"/>
      <c r="S1115" s="1"/>
    </row>
    <row r="1116" spans="9:19" x14ac:dyDescent="0.3">
      <c r="I1116" s="1"/>
      <c r="S1116" s="1"/>
    </row>
    <row r="1117" spans="9:19" x14ac:dyDescent="0.3">
      <c r="I1117" s="1"/>
      <c r="S1117" s="1"/>
    </row>
    <row r="1118" spans="9:19" x14ac:dyDescent="0.3">
      <c r="I1118" s="1"/>
      <c r="S1118" s="1"/>
    </row>
    <row r="1119" spans="9:19" x14ac:dyDescent="0.3">
      <c r="I1119" s="1"/>
      <c r="S1119" s="1"/>
    </row>
    <row r="1120" spans="9:19" x14ac:dyDescent="0.3">
      <c r="I1120" s="1"/>
      <c r="S1120" s="1"/>
    </row>
    <row r="1121" spans="9:19" x14ac:dyDescent="0.3">
      <c r="I1121" s="1"/>
      <c r="S1121" s="1"/>
    </row>
    <row r="1122" spans="9:19" x14ac:dyDescent="0.3">
      <c r="I1122" s="1"/>
      <c r="S1122" s="1"/>
    </row>
    <row r="1123" spans="9:19" x14ac:dyDescent="0.3">
      <c r="I1123" s="1"/>
      <c r="S1123" s="1"/>
    </row>
    <row r="1124" spans="9:19" x14ac:dyDescent="0.3">
      <c r="I1124" s="1"/>
      <c r="S1124" s="1"/>
    </row>
    <row r="1125" spans="9:19" x14ac:dyDescent="0.3">
      <c r="I1125" s="1"/>
      <c r="S1125" s="1"/>
    </row>
    <row r="1126" spans="9:19" x14ac:dyDescent="0.3">
      <c r="I1126" s="1"/>
      <c r="S1126" s="1"/>
    </row>
    <row r="1127" spans="9:19" x14ac:dyDescent="0.3">
      <c r="I1127" s="1"/>
      <c r="S1127" s="1"/>
    </row>
    <row r="1128" spans="9:19" x14ac:dyDescent="0.3">
      <c r="I1128" s="1"/>
      <c r="S1128" s="1"/>
    </row>
    <row r="1129" spans="9:19" x14ac:dyDescent="0.3">
      <c r="I1129" s="1"/>
      <c r="S1129" s="1"/>
    </row>
    <row r="1130" spans="9:19" x14ac:dyDescent="0.3">
      <c r="I1130" s="1"/>
      <c r="S1130" s="1"/>
    </row>
    <row r="1131" spans="9:19" x14ac:dyDescent="0.3">
      <c r="I1131" s="1"/>
      <c r="S1131" s="1"/>
    </row>
    <row r="1132" spans="9:19" x14ac:dyDescent="0.3">
      <c r="I1132" s="1"/>
      <c r="S1132" s="1"/>
    </row>
    <row r="1133" spans="9:19" x14ac:dyDescent="0.3">
      <c r="I1133" s="1"/>
      <c r="S1133" s="1"/>
    </row>
    <row r="1134" spans="9:19" x14ac:dyDescent="0.3">
      <c r="I1134" s="1"/>
      <c r="S1134" s="1"/>
    </row>
    <row r="1135" spans="9:19" x14ac:dyDescent="0.3">
      <c r="I1135" s="1"/>
      <c r="S1135" s="1"/>
    </row>
    <row r="1136" spans="9:19" x14ac:dyDescent="0.3">
      <c r="I1136" s="1"/>
      <c r="S1136" s="1"/>
    </row>
    <row r="1137" spans="9:19" x14ac:dyDescent="0.3">
      <c r="I1137" s="1"/>
      <c r="S1137" s="1"/>
    </row>
    <row r="1138" spans="9:19" x14ac:dyDescent="0.3">
      <c r="I1138" s="1"/>
      <c r="S1138" s="1"/>
    </row>
    <row r="1139" spans="9:19" x14ac:dyDescent="0.3">
      <c r="I1139" s="1"/>
      <c r="S1139" s="1"/>
    </row>
    <row r="1140" spans="9:19" x14ac:dyDescent="0.3">
      <c r="I1140" s="1"/>
      <c r="S1140" s="1"/>
    </row>
    <row r="1141" spans="9:19" x14ac:dyDescent="0.3">
      <c r="I1141" s="1"/>
      <c r="S1141" s="1"/>
    </row>
    <row r="1142" spans="9:19" x14ac:dyDescent="0.3">
      <c r="I1142" s="1"/>
      <c r="S1142" s="1"/>
    </row>
    <row r="1143" spans="9:19" x14ac:dyDescent="0.3">
      <c r="I1143" s="1"/>
      <c r="S1143" s="1"/>
    </row>
    <row r="1144" spans="9:19" x14ac:dyDescent="0.3">
      <c r="I1144" s="1"/>
      <c r="S1144" s="1"/>
    </row>
    <row r="1145" spans="9:19" x14ac:dyDescent="0.3">
      <c r="I1145" s="1"/>
      <c r="S1145" s="1"/>
    </row>
    <row r="1146" spans="9:19" x14ac:dyDescent="0.3">
      <c r="I1146" s="1"/>
      <c r="S1146" s="1"/>
    </row>
    <row r="1147" spans="9:19" x14ac:dyDescent="0.3">
      <c r="I1147" s="1"/>
      <c r="S1147" s="1"/>
    </row>
    <row r="1148" spans="9:19" x14ac:dyDescent="0.3">
      <c r="I1148" s="1"/>
      <c r="S1148" s="1"/>
    </row>
    <row r="1149" spans="9:19" x14ac:dyDescent="0.3">
      <c r="I1149" s="1"/>
      <c r="S1149" s="1"/>
    </row>
    <row r="1150" spans="9:19" x14ac:dyDescent="0.3">
      <c r="I1150" s="1"/>
      <c r="S1150" s="1"/>
    </row>
    <row r="1151" spans="9:19" x14ac:dyDescent="0.3">
      <c r="I1151" s="1"/>
      <c r="S1151" s="1"/>
    </row>
    <row r="1152" spans="9:19" x14ac:dyDescent="0.3">
      <c r="I1152" s="1"/>
      <c r="S1152" s="1"/>
    </row>
    <row r="1153" spans="9:19" x14ac:dyDescent="0.3">
      <c r="I1153" s="1"/>
      <c r="S1153" s="1"/>
    </row>
    <row r="1154" spans="9:19" x14ac:dyDescent="0.3">
      <c r="I1154" s="1"/>
      <c r="S1154" s="1"/>
    </row>
    <row r="1155" spans="9:19" x14ac:dyDescent="0.3">
      <c r="I1155" s="1"/>
      <c r="S1155" s="1"/>
    </row>
    <row r="1156" spans="9:19" x14ac:dyDescent="0.3">
      <c r="I1156" s="1"/>
      <c r="S1156" s="1"/>
    </row>
    <row r="1157" spans="9:19" x14ac:dyDescent="0.3">
      <c r="I1157" s="1"/>
      <c r="S1157" s="1"/>
    </row>
    <row r="1158" spans="9:19" x14ac:dyDescent="0.3">
      <c r="I1158" s="1"/>
      <c r="S1158" s="1"/>
    </row>
    <row r="1159" spans="9:19" x14ac:dyDescent="0.3">
      <c r="I1159" s="1"/>
      <c r="S1159" s="1"/>
    </row>
    <row r="1160" spans="9:19" x14ac:dyDescent="0.3">
      <c r="I1160" s="1"/>
      <c r="S1160" s="1"/>
    </row>
    <row r="1161" spans="9:19" x14ac:dyDescent="0.3">
      <c r="I1161" s="1"/>
      <c r="S1161" s="1"/>
    </row>
    <row r="1162" spans="9:19" x14ac:dyDescent="0.3">
      <c r="I1162" s="1"/>
      <c r="S1162" s="1"/>
    </row>
    <row r="1163" spans="9:19" x14ac:dyDescent="0.3">
      <c r="I1163" s="1"/>
      <c r="S1163" s="1"/>
    </row>
    <row r="1164" spans="9:19" x14ac:dyDescent="0.3">
      <c r="I1164" s="1"/>
      <c r="S1164" s="1"/>
    </row>
    <row r="1165" spans="9:19" x14ac:dyDescent="0.3">
      <c r="I1165" s="1"/>
      <c r="S1165" s="1"/>
    </row>
    <row r="1166" spans="9:19" x14ac:dyDescent="0.3">
      <c r="I1166" s="1"/>
      <c r="S1166" s="1"/>
    </row>
    <row r="1167" spans="9:19" x14ac:dyDescent="0.3">
      <c r="I1167" s="1"/>
      <c r="S1167" s="1"/>
    </row>
    <row r="1168" spans="9:19" x14ac:dyDescent="0.3">
      <c r="I1168" s="1"/>
      <c r="S1168" s="1"/>
    </row>
    <row r="1169" spans="9:19" x14ac:dyDescent="0.3">
      <c r="I1169" s="1"/>
      <c r="S1169" s="1"/>
    </row>
    <row r="1170" spans="9:19" x14ac:dyDescent="0.3">
      <c r="I1170" s="1"/>
      <c r="S1170" s="1"/>
    </row>
    <row r="1171" spans="9:19" x14ac:dyDescent="0.3">
      <c r="I1171" s="1"/>
      <c r="S1171" s="1"/>
    </row>
    <row r="1172" spans="9:19" x14ac:dyDescent="0.3">
      <c r="I1172" s="1"/>
      <c r="S1172" s="1"/>
    </row>
    <row r="1173" spans="9:19" x14ac:dyDescent="0.3">
      <c r="I1173" s="1"/>
      <c r="S1173" s="1"/>
    </row>
    <row r="1174" spans="9:19" x14ac:dyDescent="0.3">
      <c r="I1174" s="1"/>
      <c r="S1174" s="1"/>
    </row>
    <row r="1175" spans="9:19" x14ac:dyDescent="0.3">
      <c r="I1175" s="1"/>
      <c r="S1175" s="1"/>
    </row>
    <row r="1176" spans="9:19" x14ac:dyDescent="0.3">
      <c r="I1176" s="1"/>
      <c r="S1176" s="1"/>
    </row>
    <row r="1177" spans="9:19" x14ac:dyDescent="0.3">
      <c r="I1177" s="1"/>
      <c r="S1177" s="1"/>
    </row>
    <row r="1178" spans="9:19" x14ac:dyDescent="0.3">
      <c r="I1178" s="1"/>
      <c r="S1178" s="1"/>
    </row>
    <row r="1179" spans="9:19" x14ac:dyDescent="0.3">
      <c r="I1179" s="1"/>
      <c r="S1179" s="1"/>
    </row>
    <row r="1180" spans="9:19" x14ac:dyDescent="0.3">
      <c r="I1180" s="1"/>
      <c r="S1180" s="1"/>
    </row>
    <row r="1181" spans="9:19" x14ac:dyDescent="0.3">
      <c r="I1181" s="1"/>
      <c r="S1181" s="1"/>
    </row>
    <row r="1182" spans="9:19" x14ac:dyDescent="0.3">
      <c r="I1182" s="1"/>
      <c r="S1182" s="1"/>
    </row>
    <row r="1183" spans="9:19" x14ac:dyDescent="0.3">
      <c r="I1183" s="1"/>
      <c r="S1183" s="1"/>
    </row>
    <row r="1184" spans="9:19" x14ac:dyDescent="0.3">
      <c r="I1184" s="1"/>
      <c r="S1184" s="1"/>
    </row>
    <row r="1185" spans="9:19" x14ac:dyDescent="0.3">
      <c r="I1185" s="1"/>
      <c r="S1185" s="1"/>
    </row>
    <row r="1186" spans="9:19" x14ac:dyDescent="0.3">
      <c r="I1186" s="1"/>
      <c r="S1186" s="1"/>
    </row>
    <row r="1187" spans="9:19" x14ac:dyDescent="0.3">
      <c r="I1187" s="1"/>
      <c r="S1187" s="1"/>
    </row>
    <row r="1188" spans="9:19" x14ac:dyDescent="0.3">
      <c r="I1188" s="1"/>
      <c r="S1188" s="1"/>
    </row>
    <row r="1189" spans="9:19" x14ac:dyDescent="0.3">
      <c r="I1189" s="1"/>
      <c r="S1189" s="1"/>
    </row>
    <row r="1190" spans="9:19" x14ac:dyDescent="0.3">
      <c r="I1190" s="1"/>
      <c r="S1190" s="1"/>
    </row>
    <row r="1191" spans="9:19" x14ac:dyDescent="0.3">
      <c r="I1191" s="1"/>
      <c r="S1191" s="1"/>
    </row>
    <row r="1192" spans="9:19" x14ac:dyDescent="0.3">
      <c r="I1192" s="1"/>
      <c r="S1192" s="1"/>
    </row>
    <row r="1193" spans="9:19" x14ac:dyDescent="0.3">
      <c r="I1193" s="1"/>
      <c r="S1193" s="1"/>
    </row>
    <row r="1194" spans="9:19" x14ac:dyDescent="0.3">
      <c r="I1194" s="1"/>
      <c r="S1194" s="1"/>
    </row>
    <row r="1195" spans="9:19" x14ac:dyDescent="0.3">
      <c r="I1195" s="1"/>
      <c r="S1195" s="1"/>
    </row>
    <row r="1196" spans="9:19" x14ac:dyDescent="0.3">
      <c r="I1196" s="1"/>
      <c r="S1196" s="1"/>
    </row>
    <row r="1197" spans="9:19" x14ac:dyDescent="0.3">
      <c r="I1197" s="1"/>
      <c r="S1197" s="1"/>
    </row>
    <row r="1198" spans="9:19" x14ac:dyDescent="0.3">
      <c r="I1198" s="1"/>
      <c r="S1198" s="1"/>
    </row>
    <row r="1199" spans="9:19" x14ac:dyDescent="0.3">
      <c r="I1199" s="1"/>
      <c r="S1199" s="1"/>
    </row>
    <row r="1200" spans="9:19" x14ac:dyDescent="0.3">
      <c r="I1200" s="1"/>
      <c r="S1200" s="1"/>
    </row>
    <row r="1201" spans="9:19" x14ac:dyDescent="0.3">
      <c r="I1201" s="1"/>
      <c r="S1201" s="1"/>
    </row>
    <row r="1202" spans="9:19" x14ac:dyDescent="0.3">
      <c r="I1202" s="1"/>
      <c r="S1202" s="1"/>
    </row>
    <row r="1203" spans="9:19" x14ac:dyDescent="0.3">
      <c r="I1203" s="1"/>
      <c r="S1203" s="1"/>
    </row>
    <row r="1204" spans="9:19" x14ac:dyDescent="0.3">
      <c r="I1204" s="1"/>
      <c r="S1204" s="1"/>
    </row>
    <row r="1205" spans="9:19" x14ac:dyDescent="0.3">
      <c r="I1205" s="1"/>
      <c r="S1205" s="1"/>
    </row>
    <row r="1206" spans="9:19" x14ac:dyDescent="0.3">
      <c r="I1206" s="1"/>
      <c r="S1206" s="1"/>
    </row>
    <row r="1207" spans="9:19" x14ac:dyDescent="0.3">
      <c r="I1207" s="1"/>
      <c r="S1207" s="1"/>
    </row>
    <row r="1208" spans="9:19" x14ac:dyDescent="0.3">
      <c r="I1208" s="1"/>
      <c r="S1208" s="1"/>
    </row>
    <row r="1209" spans="9:19" x14ac:dyDescent="0.3">
      <c r="I1209" s="1"/>
      <c r="S1209" s="1"/>
    </row>
    <row r="1210" spans="9:19" x14ac:dyDescent="0.3">
      <c r="I1210" s="1"/>
      <c r="S1210" s="1"/>
    </row>
    <row r="1211" spans="9:19" x14ac:dyDescent="0.3">
      <c r="I1211" s="1"/>
      <c r="S1211" s="1"/>
    </row>
    <row r="1212" spans="9:19" x14ac:dyDescent="0.3">
      <c r="I1212" s="1"/>
      <c r="S1212" s="1"/>
    </row>
    <row r="1213" spans="9:19" x14ac:dyDescent="0.3">
      <c r="I1213" s="1"/>
      <c r="S1213" s="1"/>
    </row>
    <row r="1214" spans="9:19" x14ac:dyDescent="0.3">
      <c r="I1214" s="1"/>
      <c r="S1214" s="1"/>
    </row>
    <row r="1215" spans="9:19" x14ac:dyDescent="0.3">
      <c r="I1215" s="1"/>
      <c r="S1215" s="1"/>
    </row>
    <row r="1216" spans="9:19" x14ac:dyDescent="0.3">
      <c r="I1216" s="1"/>
      <c r="S1216" s="1"/>
    </row>
    <row r="1217" spans="9:19" x14ac:dyDescent="0.3">
      <c r="I1217" s="1"/>
      <c r="S1217" s="1"/>
    </row>
    <row r="1218" spans="9:19" x14ac:dyDescent="0.3">
      <c r="I1218" s="1"/>
      <c r="S1218" s="1"/>
    </row>
    <row r="1219" spans="9:19" x14ac:dyDescent="0.3">
      <c r="I1219" s="1"/>
      <c r="S1219" s="1"/>
    </row>
    <row r="1220" spans="9:19" x14ac:dyDescent="0.3">
      <c r="I1220" s="1"/>
      <c r="S1220" s="1"/>
    </row>
    <row r="1221" spans="9:19" x14ac:dyDescent="0.3">
      <c r="I1221" s="1"/>
      <c r="S1221" s="1"/>
    </row>
    <row r="1222" spans="9:19" x14ac:dyDescent="0.3">
      <c r="I1222" s="1"/>
      <c r="S1222" s="1"/>
    </row>
    <row r="1223" spans="9:19" x14ac:dyDescent="0.3">
      <c r="I1223" s="1"/>
      <c r="S1223" s="1"/>
    </row>
    <row r="1224" spans="9:19" x14ac:dyDescent="0.3">
      <c r="I1224" s="1"/>
      <c r="S1224" s="1"/>
    </row>
    <row r="1225" spans="9:19" x14ac:dyDescent="0.3">
      <c r="I1225" s="1"/>
      <c r="S1225" s="1"/>
    </row>
    <row r="1226" spans="9:19" x14ac:dyDescent="0.3">
      <c r="I1226" s="1"/>
      <c r="S1226" s="1"/>
    </row>
    <row r="1227" spans="9:19" x14ac:dyDescent="0.3">
      <c r="I1227" s="1"/>
      <c r="S1227" s="1"/>
    </row>
    <row r="1228" spans="9:19" x14ac:dyDescent="0.3">
      <c r="I1228" s="1"/>
      <c r="S1228" s="1"/>
    </row>
    <row r="1229" spans="9:19" x14ac:dyDescent="0.3">
      <c r="I1229" s="1"/>
      <c r="S1229" s="1"/>
    </row>
    <row r="1230" spans="9:19" x14ac:dyDescent="0.3">
      <c r="I1230" s="1"/>
      <c r="S1230" s="1"/>
    </row>
    <row r="1231" spans="9:19" x14ac:dyDescent="0.3">
      <c r="I1231" s="1"/>
      <c r="S1231" s="1"/>
    </row>
    <row r="1232" spans="9:19" x14ac:dyDescent="0.3">
      <c r="I1232" s="1"/>
      <c r="S1232" s="1"/>
    </row>
    <row r="1233" spans="9:19" x14ac:dyDescent="0.3">
      <c r="I1233" s="1"/>
      <c r="S1233" s="1"/>
    </row>
    <row r="1234" spans="9:19" x14ac:dyDescent="0.3">
      <c r="I1234" s="1"/>
      <c r="S1234" s="1"/>
    </row>
    <row r="1235" spans="9:19" x14ac:dyDescent="0.3">
      <c r="I1235" s="1"/>
      <c r="S1235" s="1"/>
    </row>
    <row r="1236" spans="9:19" x14ac:dyDescent="0.3">
      <c r="I1236" s="1"/>
      <c r="S1236" s="1"/>
    </row>
    <row r="1237" spans="9:19" x14ac:dyDescent="0.3">
      <c r="I1237" s="1"/>
      <c r="S1237" s="1"/>
    </row>
    <row r="1238" spans="9:19" x14ac:dyDescent="0.3">
      <c r="I1238" s="1"/>
      <c r="S1238" s="1"/>
    </row>
    <row r="1239" spans="9:19" x14ac:dyDescent="0.3">
      <c r="I1239" s="1"/>
      <c r="S1239" s="1"/>
    </row>
    <row r="1240" spans="9:19" x14ac:dyDescent="0.3">
      <c r="I1240" s="1"/>
      <c r="S1240" s="1"/>
    </row>
    <row r="1241" spans="9:19" x14ac:dyDescent="0.3">
      <c r="I1241" s="1"/>
      <c r="S1241" s="1"/>
    </row>
    <row r="1242" spans="9:19" x14ac:dyDescent="0.3">
      <c r="I1242" s="1"/>
      <c r="S1242" s="1"/>
    </row>
    <row r="1243" spans="9:19" x14ac:dyDescent="0.3">
      <c r="I1243" s="1"/>
      <c r="S1243" s="1"/>
    </row>
    <row r="1244" spans="9:19" x14ac:dyDescent="0.3">
      <c r="I1244" s="1"/>
      <c r="S1244" s="1"/>
    </row>
    <row r="1245" spans="9:19" x14ac:dyDescent="0.3">
      <c r="I1245" s="1"/>
      <c r="S1245" s="1"/>
    </row>
    <row r="1246" spans="9:19" x14ac:dyDescent="0.3">
      <c r="I1246" s="1"/>
      <c r="S1246" s="1"/>
    </row>
    <row r="1247" spans="9:19" x14ac:dyDescent="0.3">
      <c r="I1247" s="1"/>
      <c r="S1247" s="1"/>
    </row>
    <row r="1248" spans="9:19" x14ac:dyDescent="0.3">
      <c r="I1248" s="1"/>
      <c r="S1248" s="1"/>
    </row>
    <row r="1249" spans="9:19" x14ac:dyDescent="0.3">
      <c r="I1249" s="1"/>
      <c r="S1249" s="1"/>
    </row>
    <row r="1250" spans="9:19" x14ac:dyDescent="0.3">
      <c r="I1250" s="1"/>
      <c r="S1250" s="1"/>
    </row>
    <row r="1251" spans="9:19" x14ac:dyDescent="0.3">
      <c r="I1251" s="1"/>
      <c r="S1251" s="1"/>
    </row>
    <row r="1252" spans="9:19" x14ac:dyDescent="0.3">
      <c r="I1252" s="1"/>
      <c r="S1252" s="1"/>
    </row>
    <row r="1253" spans="9:19" x14ac:dyDescent="0.3">
      <c r="I1253" s="1"/>
      <c r="S1253" s="1"/>
    </row>
    <row r="1254" spans="9:19" x14ac:dyDescent="0.3">
      <c r="I1254" s="1"/>
      <c r="S1254" s="1"/>
    </row>
    <row r="1255" spans="9:19" x14ac:dyDescent="0.3">
      <c r="I1255" s="1"/>
      <c r="S1255" s="1"/>
    </row>
    <row r="1256" spans="9:19" x14ac:dyDescent="0.3">
      <c r="I1256" s="1"/>
      <c r="S1256" s="1"/>
    </row>
    <row r="1257" spans="9:19" x14ac:dyDescent="0.3">
      <c r="I1257" s="1"/>
      <c r="S1257" s="1"/>
    </row>
    <row r="1258" spans="9:19" x14ac:dyDescent="0.3">
      <c r="I1258" s="1"/>
      <c r="S1258" s="1"/>
    </row>
    <row r="1259" spans="9:19" x14ac:dyDescent="0.3">
      <c r="I1259" s="1"/>
      <c r="S1259" s="1"/>
    </row>
    <row r="1260" spans="9:19" x14ac:dyDescent="0.3">
      <c r="I1260" s="1"/>
      <c r="S1260" s="1"/>
    </row>
    <row r="1261" spans="9:19" x14ac:dyDescent="0.3">
      <c r="I1261" s="1"/>
      <c r="S1261" s="1"/>
    </row>
    <row r="1262" spans="9:19" x14ac:dyDescent="0.3">
      <c r="I1262" s="1"/>
      <c r="S1262" s="1"/>
    </row>
    <row r="1263" spans="9:19" x14ac:dyDescent="0.3">
      <c r="I1263" s="1"/>
      <c r="S1263" s="1"/>
    </row>
    <row r="1264" spans="9:19" x14ac:dyDescent="0.3">
      <c r="I1264" s="1"/>
      <c r="S1264" s="1"/>
    </row>
    <row r="1265" spans="9:19" x14ac:dyDescent="0.3">
      <c r="I1265" s="1"/>
      <c r="S1265" s="1"/>
    </row>
    <row r="1266" spans="9:19" x14ac:dyDescent="0.3">
      <c r="I1266" s="1"/>
      <c r="S1266" s="1"/>
    </row>
    <row r="1267" spans="9:19" x14ac:dyDescent="0.3">
      <c r="I1267" s="1"/>
      <c r="S1267" s="1"/>
    </row>
    <row r="1268" spans="9:19" x14ac:dyDescent="0.3">
      <c r="I1268" s="1"/>
      <c r="S1268" s="1"/>
    </row>
    <row r="1269" spans="9:19" x14ac:dyDescent="0.3">
      <c r="I1269" s="1"/>
      <c r="S1269" s="1"/>
    </row>
    <row r="1270" spans="9:19" x14ac:dyDescent="0.3">
      <c r="I1270" s="1"/>
      <c r="S1270" s="1"/>
    </row>
    <row r="1271" spans="9:19" x14ac:dyDescent="0.3">
      <c r="I1271" s="1"/>
      <c r="S1271" s="1"/>
    </row>
    <row r="1272" spans="9:19" x14ac:dyDescent="0.3">
      <c r="I1272" s="1"/>
      <c r="S1272" s="1"/>
    </row>
    <row r="1273" spans="9:19" x14ac:dyDescent="0.3">
      <c r="I1273" s="1"/>
      <c r="S1273" s="1"/>
    </row>
    <row r="1274" spans="9:19" x14ac:dyDescent="0.3">
      <c r="I1274" s="1"/>
      <c r="S1274" s="1"/>
    </row>
    <row r="1275" spans="9:19" x14ac:dyDescent="0.3">
      <c r="I1275" s="1"/>
      <c r="S1275" s="1"/>
    </row>
    <row r="1276" spans="9:19" x14ac:dyDescent="0.3">
      <c r="I1276" s="1"/>
      <c r="S1276" s="1"/>
    </row>
    <row r="1277" spans="9:19" x14ac:dyDescent="0.3">
      <c r="I1277" s="1"/>
      <c r="S1277" s="1"/>
    </row>
    <row r="1278" spans="9:19" x14ac:dyDescent="0.3">
      <c r="I1278" s="1"/>
      <c r="S1278" s="1"/>
    </row>
    <row r="1279" spans="9:19" x14ac:dyDescent="0.3">
      <c r="I1279" s="1"/>
      <c r="S1279" s="1"/>
    </row>
    <row r="1280" spans="9:19" x14ac:dyDescent="0.3">
      <c r="I1280" s="1"/>
      <c r="S1280" s="1"/>
    </row>
    <row r="1281" spans="9:19" x14ac:dyDescent="0.3">
      <c r="I1281" s="1"/>
      <c r="S1281" s="1"/>
    </row>
    <row r="1282" spans="9:19" x14ac:dyDescent="0.3">
      <c r="I1282" s="1"/>
      <c r="S1282" s="1"/>
    </row>
    <row r="1283" spans="9:19" x14ac:dyDescent="0.3">
      <c r="I1283" s="1"/>
      <c r="S1283" s="1"/>
    </row>
    <row r="1284" spans="9:19" x14ac:dyDescent="0.3">
      <c r="I1284" s="1"/>
      <c r="S1284" s="1"/>
    </row>
    <row r="1285" spans="9:19" x14ac:dyDescent="0.3">
      <c r="I1285" s="1"/>
      <c r="S1285" s="1"/>
    </row>
    <row r="1286" spans="9:19" x14ac:dyDescent="0.3">
      <c r="I1286" s="1"/>
      <c r="S1286" s="1"/>
    </row>
    <row r="1287" spans="9:19" x14ac:dyDescent="0.3">
      <c r="I1287" s="1"/>
      <c r="S1287" s="1"/>
    </row>
    <row r="1288" spans="9:19" x14ac:dyDescent="0.3">
      <c r="I1288" s="1"/>
      <c r="S1288" s="1"/>
    </row>
    <row r="1289" spans="9:19" x14ac:dyDescent="0.3">
      <c r="I1289" s="1"/>
      <c r="S1289" s="1"/>
    </row>
    <row r="1290" spans="9:19" x14ac:dyDescent="0.3">
      <c r="I1290" s="1"/>
      <c r="S1290" s="1"/>
    </row>
    <row r="1291" spans="9:19" x14ac:dyDescent="0.3">
      <c r="I1291" s="1"/>
      <c r="S1291" s="1"/>
    </row>
    <row r="1292" spans="9:19" x14ac:dyDescent="0.3">
      <c r="I1292" s="1"/>
      <c r="S1292" s="1"/>
    </row>
    <row r="1293" spans="9:19" x14ac:dyDescent="0.3">
      <c r="I1293" s="1"/>
      <c r="S1293" s="1"/>
    </row>
    <row r="1294" spans="9:19" x14ac:dyDescent="0.3">
      <c r="I1294" s="1"/>
      <c r="S1294" s="1"/>
    </row>
    <row r="1295" spans="9:19" x14ac:dyDescent="0.3">
      <c r="I1295" s="1"/>
      <c r="S1295" s="1"/>
    </row>
    <row r="1296" spans="9:19" x14ac:dyDescent="0.3">
      <c r="I1296" s="1"/>
      <c r="S1296" s="1"/>
    </row>
    <row r="1297" spans="9:19" x14ac:dyDescent="0.3">
      <c r="I1297" s="1"/>
      <c r="S1297" s="1"/>
    </row>
    <row r="1298" spans="9:19" x14ac:dyDescent="0.3">
      <c r="I1298" s="1"/>
      <c r="S1298" s="1"/>
    </row>
    <row r="1299" spans="9:19" x14ac:dyDescent="0.3">
      <c r="I1299" s="1"/>
      <c r="S1299" s="1"/>
    </row>
    <row r="1300" spans="9:19" x14ac:dyDescent="0.3">
      <c r="I1300" s="1"/>
      <c r="S1300" s="1"/>
    </row>
    <row r="1301" spans="9:19" x14ac:dyDescent="0.3">
      <c r="I1301" s="1"/>
      <c r="S1301" s="1"/>
    </row>
    <row r="1302" spans="9:19" x14ac:dyDescent="0.3">
      <c r="I1302" s="1"/>
      <c r="S1302" s="1"/>
    </row>
    <row r="1303" spans="9:19" x14ac:dyDescent="0.3">
      <c r="I1303" s="1"/>
      <c r="S1303" s="1"/>
    </row>
    <row r="1304" spans="9:19" x14ac:dyDescent="0.3">
      <c r="I1304" s="1"/>
      <c r="S1304" s="1"/>
    </row>
    <row r="1305" spans="9:19" x14ac:dyDescent="0.3">
      <c r="I1305" s="1"/>
      <c r="S1305" s="1"/>
    </row>
    <row r="1306" spans="9:19" x14ac:dyDescent="0.3">
      <c r="I1306" s="1"/>
      <c r="S1306" s="1"/>
    </row>
    <row r="1307" spans="9:19" x14ac:dyDescent="0.3">
      <c r="I1307" s="1"/>
      <c r="S1307" s="1"/>
    </row>
    <row r="1308" spans="9:19" x14ac:dyDescent="0.3">
      <c r="I1308" s="1"/>
      <c r="S1308" s="1"/>
    </row>
    <row r="1309" spans="9:19" x14ac:dyDescent="0.3">
      <c r="I1309" s="1"/>
      <c r="S1309" s="1"/>
    </row>
    <row r="1310" spans="9:19" x14ac:dyDescent="0.3">
      <c r="I1310" s="1"/>
      <c r="S1310" s="1"/>
    </row>
    <row r="1311" spans="9:19" x14ac:dyDescent="0.3">
      <c r="I1311" s="1"/>
      <c r="S1311" s="1"/>
    </row>
    <row r="1312" spans="9:19" x14ac:dyDescent="0.3">
      <c r="I1312" s="1"/>
      <c r="S1312" s="1"/>
    </row>
    <row r="1313" spans="9:19" x14ac:dyDescent="0.3">
      <c r="I1313" s="1"/>
      <c r="S1313" s="1"/>
    </row>
    <row r="1314" spans="9:19" x14ac:dyDescent="0.3">
      <c r="I1314" s="1"/>
      <c r="S1314" s="1"/>
    </row>
    <row r="1315" spans="9:19" x14ac:dyDescent="0.3">
      <c r="I1315" s="1"/>
      <c r="S1315" s="1"/>
    </row>
    <row r="1316" spans="9:19" x14ac:dyDescent="0.3">
      <c r="I1316" s="1"/>
      <c r="S1316" s="1"/>
    </row>
    <row r="1317" spans="9:19" x14ac:dyDescent="0.3">
      <c r="I1317" s="1"/>
      <c r="S1317" s="1"/>
    </row>
    <row r="1318" spans="9:19" x14ac:dyDescent="0.3">
      <c r="I1318" s="1"/>
      <c r="S1318" s="1"/>
    </row>
    <row r="1319" spans="9:19" x14ac:dyDescent="0.3">
      <c r="I1319" s="1"/>
      <c r="S1319" s="1"/>
    </row>
    <row r="1320" spans="9:19" x14ac:dyDescent="0.3">
      <c r="I1320" s="1"/>
      <c r="S1320" s="1"/>
    </row>
    <row r="1321" spans="9:19" x14ac:dyDescent="0.3">
      <c r="I1321" s="1"/>
      <c r="S1321" s="1"/>
    </row>
    <row r="1322" spans="9:19" x14ac:dyDescent="0.3">
      <c r="I1322" s="1"/>
      <c r="S1322" s="1"/>
    </row>
    <row r="1323" spans="9:19" x14ac:dyDescent="0.3">
      <c r="I1323" s="1"/>
      <c r="S1323" s="1"/>
    </row>
    <row r="1324" spans="9:19" x14ac:dyDescent="0.3">
      <c r="I1324" s="1"/>
      <c r="S1324" s="1"/>
    </row>
    <row r="1325" spans="9:19" x14ac:dyDescent="0.3">
      <c r="I1325" s="1"/>
      <c r="S1325" s="1"/>
    </row>
    <row r="1326" spans="9:19" x14ac:dyDescent="0.3">
      <c r="I1326" s="1"/>
      <c r="S1326" s="1"/>
    </row>
    <row r="1327" spans="9:19" x14ac:dyDescent="0.3">
      <c r="I1327" s="1"/>
      <c r="S1327" s="1"/>
    </row>
    <row r="1328" spans="9:19" x14ac:dyDescent="0.3">
      <c r="I1328" s="1"/>
      <c r="S1328" s="1"/>
    </row>
    <row r="1329" spans="9:19" x14ac:dyDescent="0.3">
      <c r="I1329" s="1"/>
      <c r="S1329" s="1"/>
    </row>
    <row r="1330" spans="9:19" x14ac:dyDescent="0.3">
      <c r="I1330" s="1"/>
      <c r="S1330" s="1"/>
    </row>
    <row r="1331" spans="9:19" x14ac:dyDescent="0.3">
      <c r="I1331" s="1"/>
      <c r="S1331" s="1"/>
    </row>
    <row r="1332" spans="9:19" x14ac:dyDescent="0.3">
      <c r="I1332" s="1"/>
      <c r="S1332" s="1"/>
    </row>
    <row r="1333" spans="9:19" x14ac:dyDescent="0.3">
      <c r="I1333" s="1"/>
      <c r="S1333" s="1"/>
    </row>
    <row r="1334" spans="9:19" x14ac:dyDescent="0.3">
      <c r="I1334" s="1"/>
      <c r="S1334" s="1"/>
    </row>
    <row r="1335" spans="9:19" x14ac:dyDescent="0.3">
      <c r="I1335" s="1"/>
      <c r="S1335" s="1"/>
    </row>
    <row r="1336" spans="9:19" x14ac:dyDescent="0.3">
      <c r="I1336" s="1"/>
      <c r="S1336" s="1"/>
    </row>
    <row r="1337" spans="9:19" x14ac:dyDescent="0.3">
      <c r="I1337" s="1"/>
      <c r="S1337" s="1"/>
    </row>
    <row r="1338" spans="9:19" x14ac:dyDescent="0.3">
      <c r="I1338" s="1"/>
      <c r="S1338" s="1"/>
    </row>
    <row r="1339" spans="9:19" x14ac:dyDescent="0.3">
      <c r="I1339" s="1"/>
      <c r="S1339" s="1"/>
    </row>
    <row r="1340" spans="9:19" x14ac:dyDescent="0.3">
      <c r="I1340" s="1"/>
      <c r="S1340" s="1"/>
    </row>
    <row r="1341" spans="9:19" x14ac:dyDescent="0.3">
      <c r="I1341" s="1"/>
      <c r="S1341" s="1"/>
    </row>
    <row r="1342" spans="9:19" x14ac:dyDescent="0.3">
      <c r="I1342" s="1"/>
      <c r="S1342" s="1"/>
    </row>
    <row r="1343" spans="9:19" x14ac:dyDescent="0.3">
      <c r="I1343" s="1"/>
      <c r="S1343" s="1"/>
    </row>
    <row r="1344" spans="9:19" x14ac:dyDescent="0.3">
      <c r="I1344" s="1"/>
      <c r="S1344" s="1"/>
    </row>
    <row r="1345" spans="9:19" x14ac:dyDescent="0.3">
      <c r="I1345" s="1"/>
      <c r="S1345" s="1"/>
    </row>
    <row r="1346" spans="9:19" x14ac:dyDescent="0.3">
      <c r="I1346" s="1"/>
      <c r="S1346" s="1"/>
    </row>
    <row r="1347" spans="9:19" x14ac:dyDescent="0.3">
      <c r="I1347" s="1"/>
      <c r="S1347" s="1"/>
    </row>
    <row r="1348" spans="9:19" x14ac:dyDescent="0.3">
      <c r="I1348" s="1"/>
      <c r="S1348" s="1"/>
    </row>
    <row r="1349" spans="9:19" x14ac:dyDescent="0.3">
      <c r="I1349" s="1"/>
      <c r="S1349" s="1"/>
    </row>
    <row r="1350" spans="9:19" x14ac:dyDescent="0.3">
      <c r="I1350" s="1"/>
      <c r="S1350" s="1"/>
    </row>
    <row r="1351" spans="9:19" x14ac:dyDescent="0.3">
      <c r="I1351" s="1"/>
      <c r="S1351" s="1"/>
    </row>
    <row r="1352" spans="9:19" x14ac:dyDescent="0.3">
      <c r="I1352" s="1"/>
      <c r="S1352" s="1"/>
    </row>
    <row r="1353" spans="9:19" x14ac:dyDescent="0.3">
      <c r="I1353" s="1"/>
      <c r="S1353" s="1"/>
    </row>
    <row r="1354" spans="9:19" x14ac:dyDescent="0.3">
      <c r="I1354" s="1"/>
      <c r="S1354" s="1"/>
    </row>
    <row r="1355" spans="9:19" x14ac:dyDescent="0.3">
      <c r="I1355" s="1"/>
      <c r="S1355" s="1"/>
    </row>
    <row r="1356" spans="9:19" x14ac:dyDescent="0.3">
      <c r="I1356" s="1"/>
      <c r="S1356" s="1"/>
    </row>
    <row r="1357" spans="9:19" x14ac:dyDescent="0.3">
      <c r="I1357" s="1"/>
      <c r="S1357" s="1"/>
    </row>
    <row r="1358" spans="9:19" x14ac:dyDescent="0.3">
      <c r="I1358" s="1"/>
      <c r="S1358" s="1"/>
    </row>
    <row r="1359" spans="9:19" x14ac:dyDescent="0.3">
      <c r="I1359" s="1"/>
      <c r="S1359" s="1"/>
    </row>
    <row r="1360" spans="9:19" x14ac:dyDescent="0.3">
      <c r="I1360" s="1"/>
      <c r="S1360" s="1"/>
    </row>
    <row r="1361" spans="9:19" x14ac:dyDescent="0.3">
      <c r="I1361" s="1"/>
      <c r="S1361" s="1"/>
    </row>
    <row r="1362" spans="9:19" x14ac:dyDescent="0.3">
      <c r="I1362" s="1"/>
      <c r="S1362" s="1"/>
    </row>
    <row r="1363" spans="9:19" x14ac:dyDescent="0.3">
      <c r="I1363" s="1"/>
      <c r="S1363" s="1"/>
    </row>
    <row r="1364" spans="9:19" x14ac:dyDescent="0.3">
      <c r="I1364" s="1"/>
      <c r="S1364" s="1"/>
    </row>
    <row r="1365" spans="9:19" x14ac:dyDescent="0.3">
      <c r="I1365" s="1"/>
      <c r="S1365" s="1"/>
    </row>
    <row r="1366" spans="9:19" x14ac:dyDescent="0.3">
      <c r="I1366" s="1"/>
      <c r="S1366" s="1"/>
    </row>
    <row r="1367" spans="9:19" x14ac:dyDescent="0.3">
      <c r="I1367" s="1"/>
      <c r="S1367" s="1"/>
    </row>
    <row r="1368" spans="9:19" x14ac:dyDescent="0.3">
      <c r="I1368" s="1"/>
      <c r="S1368" s="1"/>
    </row>
    <row r="1369" spans="9:19" x14ac:dyDescent="0.3">
      <c r="I1369" s="1"/>
      <c r="S1369" s="1"/>
    </row>
    <row r="1370" spans="9:19" x14ac:dyDescent="0.3">
      <c r="I1370" s="1"/>
      <c r="S1370" s="1"/>
    </row>
    <row r="1371" spans="9:19" x14ac:dyDescent="0.3">
      <c r="I1371" s="1"/>
      <c r="S1371" s="1"/>
    </row>
    <row r="1372" spans="9:19" x14ac:dyDescent="0.3">
      <c r="I1372" s="1"/>
      <c r="S1372" s="1"/>
    </row>
    <row r="1373" spans="9:19" x14ac:dyDescent="0.3">
      <c r="I1373" s="1"/>
      <c r="S1373" s="1"/>
    </row>
    <row r="1374" spans="9:19" x14ac:dyDescent="0.3">
      <c r="I1374" s="1"/>
      <c r="S1374" s="1"/>
    </row>
    <row r="1375" spans="9:19" x14ac:dyDescent="0.3">
      <c r="I1375" s="1"/>
      <c r="S1375" s="1"/>
    </row>
    <row r="1376" spans="9:19" x14ac:dyDescent="0.3">
      <c r="I1376" s="1"/>
      <c r="S1376" s="1"/>
    </row>
    <row r="1377" spans="9:19" x14ac:dyDescent="0.3">
      <c r="I1377" s="1"/>
      <c r="S1377" s="1"/>
    </row>
    <row r="1378" spans="9:19" x14ac:dyDescent="0.3">
      <c r="I1378" s="1"/>
      <c r="S1378" s="1"/>
    </row>
    <row r="1379" spans="9:19" x14ac:dyDescent="0.3">
      <c r="I1379" s="1"/>
      <c r="S1379" s="1"/>
    </row>
    <row r="1380" spans="9:19" x14ac:dyDescent="0.3">
      <c r="I1380" s="1"/>
      <c r="S1380" s="1"/>
    </row>
    <row r="1381" spans="9:19" x14ac:dyDescent="0.3">
      <c r="I1381" s="1"/>
      <c r="S1381" s="1"/>
    </row>
    <row r="1382" spans="9:19" x14ac:dyDescent="0.3">
      <c r="I1382" s="1"/>
      <c r="S1382" s="1"/>
    </row>
    <row r="1383" spans="9:19" x14ac:dyDescent="0.3">
      <c r="I1383" s="1"/>
      <c r="S1383" s="1"/>
    </row>
    <row r="1384" spans="9:19" x14ac:dyDescent="0.3">
      <c r="I1384" s="1"/>
      <c r="S1384" s="1"/>
    </row>
    <row r="1385" spans="9:19" x14ac:dyDescent="0.3">
      <c r="I1385" s="1"/>
      <c r="S1385" s="1"/>
    </row>
    <row r="1386" spans="9:19" x14ac:dyDescent="0.3">
      <c r="I1386" s="1"/>
      <c r="S1386" s="1"/>
    </row>
    <row r="1387" spans="9:19" x14ac:dyDescent="0.3">
      <c r="I1387" s="1"/>
      <c r="S1387" s="1"/>
    </row>
    <row r="1388" spans="9:19" x14ac:dyDescent="0.3">
      <c r="I1388" s="1"/>
      <c r="S1388" s="1"/>
    </row>
    <row r="1389" spans="9:19" x14ac:dyDescent="0.3">
      <c r="I1389" s="1"/>
      <c r="S1389" s="1"/>
    </row>
    <row r="1390" spans="9:19" x14ac:dyDescent="0.3">
      <c r="I1390" s="1"/>
      <c r="S1390" s="1"/>
    </row>
    <row r="1391" spans="9:19" x14ac:dyDescent="0.3">
      <c r="I1391" s="1"/>
      <c r="S1391" s="1"/>
    </row>
    <row r="1392" spans="9:19" x14ac:dyDescent="0.3">
      <c r="I1392" s="1"/>
      <c r="S1392" s="1"/>
    </row>
    <row r="1393" spans="9:19" x14ac:dyDescent="0.3">
      <c r="I1393" s="1"/>
      <c r="S1393" s="1"/>
    </row>
    <row r="1394" spans="9:19" x14ac:dyDescent="0.3">
      <c r="I1394" s="1"/>
      <c r="S1394" s="1"/>
    </row>
    <row r="1395" spans="9:19" x14ac:dyDescent="0.3">
      <c r="I1395" s="1"/>
      <c r="S1395" s="1"/>
    </row>
    <row r="1396" spans="9:19" x14ac:dyDescent="0.3">
      <c r="I1396" s="1"/>
      <c r="S1396" s="1"/>
    </row>
    <row r="1397" spans="9:19" x14ac:dyDescent="0.3">
      <c r="I1397" s="1"/>
      <c r="S1397" s="1"/>
    </row>
    <row r="1398" spans="9:19" x14ac:dyDescent="0.3">
      <c r="I1398" s="1"/>
      <c r="S1398" s="1"/>
    </row>
    <row r="1399" spans="9:19" x14ac:dyDescent="0.3">
      <c r="I1399" s="1"/>
      <c r="S1399" s="1"/>
    </row>
    <row r="1400" spans="9:19" x14ac:dyDescent="0.3">
      <c r="I1400" s="1"/>
      <c r="S1400" s="1"/>
    </row>
    <row r="1401" spans="9:19" x14ac:dyDescent="0.3">
      <c r="I1401" s="1"/>
      <c r="S1401" s="1"/>
    </row>
    <row r="1402" spans="9:19" x14ac:dyDescent="0.3">
      <c r="I1402" s="1"/>
      <c r="S1402" s="1"/>
    </row>
    <row r="1403" spans="9:19" x14ac:dyDescent="0.3">
      <c r="I1403" s="1"/>
      <c r="S1403" s="1"/>
    </row>
    <row r="1404" spans="9:19" x14ac:dyDescent="0.3">
      <c r="I1404" s="1"/>
      <c r="S1404" s="1"/>
    </row>
    <row r="1405" spans="9:19" x14ac:dyDescent="0.3">
      <c r="I1405" s="1"/>
      <c r="S1405" s="1"/>
    </row>
    <row r="1406" spans="9:19" x14ac:dyDescent="0.3">
      <c r="I1406" s="1"/>
      <c r="S1406" s="1"/>
    </row>
    <row r="1407" spans="9:19" x14ac:dyDescent="0.3">
      <c r="I1407" s="1"/>
      <c r="S1407" s="1"/>
    </row>
    <row r="1408" spans="9:19" x14ac:dyDescent="0.3">
      <c r="I1408" s="1"/>
      <c r="S1408" s="1"/>
    </row>
    <row r="1409" spans="9:19" x14ac:dyDescent="0.3">
      <c r="I1409" s="1"/>
      <c r="S1409" s="1"/>
    </row>
    <row r="1410" spans="9:19" x14ac:dyDescent="0.3">
      <c r="I1410" s="1"/>
      <c r="S1410" s="1"/>
    </row>
    <row r="1411" spans="9:19" x14ac:dyDescent="0.3">
      <c r="I1411" s="1"/>
      <c r="S1411" s="1"/>
    </row>
    <row r="1412" spans="9:19" x14ac:dyDescent="0.3">
      <c r="I1412" s="1"/>
      <c r="S1412" s="1"/>
    </row>
    <row r="1413" spans="9:19" x14ac:dyDescent="0.3">
      <c r="I1413" s="1"/>
      <c r="S1413" s="1"/>
    </row>
    <row r="1414" spans="9:19" x14ac:dyDescent="0.3">
      <c r="I1414" s="1"/>
      <c r="S1414" s="1"/>
    </row>
    <row r="1415" spans="9:19" x14ac:dyDescent="0.3">
      <c r="I1415" s="1"/>
      <c r="S1415" s="1"/>
    </row>
    <row r="1416" spans="9:19" x14ac:dyDescent="0.3">
      <c r="I1416" s="1"/>
      <c r="S1416" s="1"/>
    </row>
    <row r="1417" spans="9:19" x14ac:dyDescent="0.3">
      <c r="I1417" s="1"/>
      <c r="S1417" s="1"/>
    </row>
    <row r="1418" spans="9:19" x14ac:dyDescent="0.3">
      <c r="I1418" s="1"/>
      <c r="S1418" s="1"/>
    </row>
    <row r="1419" spans="9:19" x14ac:dyDescent="0.3">
      <c r="I1419" s="1"/>
      <c r="S1419" s="1"/>
    </row>
    <row r="1420" spans="9:19" x14ac:dyDescent="0.3">
      <c r="I1420" s="1"/>
      <c r="S1420" s="1"/>
    </row>
    <row r="1421" spans="9:19" x14ac:dyDescent="0.3">
      <c r="I1421" s="1"/>
      <c r="S1421" s="1"/>
    </row>
    <row r="1422" spans="9:19" x14ac:dyDescent="0.3">
      <c r="I1422" s="1"/>
      <c r="S1422" s="1"/>
    </row>
    <row r="1423" spans="9:19" x14ac:dyDescent="0.3">
      <c r="I1423" s="1"/>
      <c r="S1423" s="1"/>
    </row>
    <row r="1424" spans="9:19" x14ac:dyDescent="0.3">
      <c r="I1424" s="1"/>
      <c r="S1424" s="1"/>
    </row>
    <row r="1425" spans="9:19" x14ac:dyDescent="0.3">
      <c r="I1425" s="1"/>
      <c r="S1425" s="1"/>
    </row>
    <row r="1426" spans="9:19" x14ac:dyDescent="0.3">
      <c r="I1426" s="1"/>
      <c r="S1426" s="1"/>
    </row>
    <row r="1427" spans="9:19" x14ac:dyDescent="0.3">
      <c r="I1427" s="1"/>
      <c r="S1427" s="1"/>
    </row>
    <row r="1428" spans="9:19" x14ac:dyDescent="0.3">
      <c r="I1428" s="1"/>
      <c r="S1428" s="1"/>
    </row>
    <row r="1429" spans="9:19" x14ac:dyDescent="0.3">
      <c r="I1429" s="1"/>
      <c r="S1429" s="1"/>
    </row>
    <row r="1430" spans="9:19" x14ac:dyDescent="0.3">
      <c r="I1430" s="1"/>
      <c r="S1430" s="1"/>
    </row>
    <row r="1431" spans="9:19" x14ac:dyDescent="0.3">
      <c r="I1431" s="1"/>
      <c r="S1431" s="1"/>
    </row>
    <row r="1432" spans="9:19" x14ac:dyDescent="0.3">
      <c r="I1432" s="1"/>
      <c r="S1432" s="1"/>
    </row>
    <row r="1433" spans="9:19" x14ac:dyDescent="0.3">
      <c r="I1433" s="1"/>
      <c r="S1433" s="1"/>
    </row>
    <row r="1434" spans="9:19" x14ac:dyDescent="0.3">
      <c r="I1434" s="1"/>
      <c r="S1434" s="1"/>
    </row>
    <row r="1435" spans="9:19" x14ac:dyDescent="0.3">
      <c r="I1435" s="1"/>
      <c r="S1435" s="1"/>
    </row>
    <row r="1436" spans="9:19" x14ac:dyDescent="0.3">
      <c r="I1436" s="1"/>
      <c r="S1436" s="1"/>
    </row>
    <row r="1437" spans="9:19" x14ac:dyDescent="0.3">
      <c r="I1437" s="1"/>
      <c r="S1437" s="1"/>
    </row>
    <row r="1438" spans="9:19" x14ac:dyDescent="0.3">
      <c r="I1438" s="1"/>
      <c r="S1438" s="1"/>
    </row>
    <row r="1439" spans="9:19" x14ac:dyDescent="0.3">
      <c r="I1439" s="1"/>
      <c r="S1439" s="1"/>
    </row>
    <row r="1440" spans="9:19" x14ac:dyDescent="0.3">
      <c r="I1440" s="1"/>
      <c r="S1440" s="1"/>
    </row>
    <row r="1441" spans="9:19" x14ac:dyDescent="0.3">
      <c r="I1441" s="1"/>
      <c r="S1441" s="1"/>
    </row>
    <row r="1442" spans="9:19" x14ac:dyDescent="0.3">
      <c r="I1442" s="1"/>
      <c r="S1442" s="1"/>
    </row>
    <row r="1443" spans="9:19" x14ac:dyDescent="0.3">
      <c r="I1443" s="1"/>
      <c r="S1443" s="1"/>
    </row>
    <row r="1444" spans="9:19" x14ac:dyDescent="0.3">
      <c r="I1444" s="1"/>
      <c r="S1444" s="1"/>
    </row>
    <row r="1445" spans="9:19" x14ac:dyDescent="0.3">
      <c r="I1445" s="1"/>
      <c r="S1445" s="1"/>
    </row>
    <row r="1446" spans="9:19" x14ac:dyDescent="0.3">
      <c r="I1446" s="1"/>
      <c r="S1446" s="1"/>
    </row>
    <row r="1447" spans="9:19" x14ac:dyDescent="0.3">
      <c r="I1447" s="1"/>
      <c r="S1447" s="1"/>
    </row>
    <row r="1448" spans="9:19" x14ac:dyDescent="0.3">
      <c r="I1448" s="1"/>
      <c r="S1448" s="1"/>
    </row>
    <row r="1449" spans="9:19" x14ac:dyDescent="0.3">
      <c r="I1449" s="1"/>
      <c r="S1449" s="1"/>
    </row>
    <row r="1450" spans="9:19" x14ac:dyDescent="0.3">
      <c r="I1450" s="1"/>
      <c r="S1450" s="1"/>
    </row>
    <row r="1451" spans="9:19" x14ac:dyDescent="0.3">
      <c r="I1451" s="1"/>
      <c r="S1451" s="1"/>
    </row>
    <row r="1452" spans="9:19" x14ac:dyDescent="0.3">
      <c r="I1452" s="1"/>
      <c r="S1452" s="1"/>
    </row>
    <row r="1453" spans="9:19" x14ac:dyDescent="0.3">
      <c r="I1453" s="1"/>
      <c r="S1453" s="1"/>
    </row>
    <row r="1454" spans="9:19" x14ac:dyDescent="0.3">
      <c r="I1454" s="1"/>
      <c r="S1454" s="1"/>
    </row>
    <row r="1455" spans="9:19" x14ac:dyDescent="0.3">
      <c r="I1455" s="1"/>
      <c r="S1455" s="1"/>
    </row>
    <row r="1456" spans="9:19" x14ac:dyDescent="0.3">
      <c r="I1456" s="1"/>
      <c r="S1456" s="1"/>
    </row>
    <row r="1457" spans="9:19" x14ac:dyDescent="0.3">
      <c r="I1457" s="1"/>
      <c r="S1457" s="1"/>
    </row>
    <row r="1458" spans="9:19" x14ac:dyDescent="0.3">
      <c r="I1458" s="1"/>
      <c r="S1458" s="1"/>
    </row>
    <row r="1459" spans="9:19" x14ac:dyDescent="0.3">
      <c r="I1459" s="1"/>
      <c r="S1459" s="1"/>
    </row>
    <row r="1460" spans="9:19" x14ac:dyDescent="0.3">
      <c r="I1460" s="1"/>
      <c r="S1460" s="1"/>
    </row>
    <row r="1461" spans="9:19" x14ac:dyDescent="0.3">
      <c r="I1461" s="1"/>
      <c r="S1461" s="1"/>
    </row>
    <row r="1462" spans="9:19" x14ac:dyDescent="0.3">
      <c r="I1462" s="1"/>
      <c r="S1462" s="1"/>
    </row>
    <row r="1463" spans="9:19" x14ac:dyDescent="0.3">
      <c r="I1463" s="1"/>
      <c r="S1463" s="1"/>
    </row>
    <row r="1464" spans="9:19" x14ac:dyDescent="0.3">
      <c r="I1464" s="1"/>
      <c r="S1464" s="1"/>
    </row>
    <row r="1465" spans="9:19" x14ac:dyDescent="0.3">
      <c r="I1465" s="1"/>
      <c r="S1465" s="1"/>
    </row>
    <row r="1466" spans="9:19" x14ac:dyDescent="0.3">
      <c r="I1466" s="1"/>
      <c r="S1466" s="1"/>
    </row>
    <row r="1467" spans="9:19" x14ac:dyDescent="0.3">
      <c r="I1467" s="1"/>
      <c r="S1467" s="1"/>
    </row>
    <row r="1468" spans="9:19" x14ac:dyDescent="0.3">
      <c r="I1468" s="1"/>
      <c r="S1468" s="1"/>
    </row>
    <row r="1469" spans="9:19" x14ac:dyDescent="0.3">
      <c r="I1469" s="1"/>
      <c r="S1469" s="1"/>
    </row>
    <row r="1470" spans="9:19" x14ac:dyDescent="0.3">
      <c r="I1470" s="1"/>
      <c r="S1470" s="1"/>
    </row>
    <row r="1471" spans="9:19" x14ac:dyDescent="0.3">
      <c r="I1471" s="1"/>
      <c r="S1471" s="1"/>
    </row>
    <row r="1472" spans="9:19" x14ac:dyDescent="0.3">
      <c r="I1472" s="1"/>
      <c r="S1472" s="1"/>
    </row>
    <row r="1473" spans="9:19" x14ac:dyDescent="0.3">
      <c r="I1473" s="1"/>
      <c r="S1473" s="1"/>
    </row>
    <row r="1474" spans="9:19" x14ac:dyDescent="0.3">
      <c r="I1474" s="1"/>
      <c r="S1474" s="1"/>
    </row>
    <row r="1475" spans="9:19" x14ac:dyDescent="0.3">
      <c r="I1475" s="1"/>
      <c r="S1475" s="1"/>
    </row>
    <row r="1476" spans="9:19" x14ac:dyDescent="0.3">
      <c r="I1476" s="1"/>
      <c r="S1476" s="1"/>
    </row>
    <row r="1477" spans="9:19" x14ac:dyDescent="0.3">
      <c r="I1477" s="1"/>
      <c r="S1477" s="1"/>
    </row>
    <row r="1478" spans="9:19" x14ac:dyDescent="0.3">
      <c r="I1478" s="1"/>
      <c r="S1478" s="1"/>
    </row>
    <row r="1479" spans="9:19" x14ac:dyDescent="0.3">
      <c r="I1479" s="1"/>
      <c r="S1479" s="1"/>
    </row>
    <row r="1480" spans="9:19" x14ac:dyDescent="0.3">
      <c r="I1480" s="1"/>
      <c r="S1480" s="1"/>
    </row>
    <row r="1481" spans="9:19" x14ac:dyDescent="0.3">
      <c r="I1481" s="1"/>
      <c r="S1481" s="1"/>
    </row>
    <row r="1482" spans="9:19" x14ac:dyDescent="0.3">
      <c r="I1482" s="1"/>
      <c r="S1482" s="1"/>
    </row>
    <row r="1483" spans="9:19" x14ac:dyDescent="0.3">
      <c r="I1483" s="1"/>
      <c r="S1483" s="1"/>
    </row>
    <row r="1484" spans="9:19" x14ac:dyDescent="0.3">
      <c r="I1484" s="1"/>
      <c r="S1484" s="1"/>
    </row>
    <row r="1485" spans="9:19" x14ac:dyDescent="0.3">
      <c r="I1485" s="1"/>
      <c r="S1485" s="1"/>
    </row>
    <row r="1486" spans="9:19" x14ac:dyDescent="0.3">
      <c r="I1486" s="1"/>
      <c r="S1486" s="1"/>
    </row>
    <row r="1487" spans="9:19" x14ac:dyDescent="0.3">
      <c r="I1487" s="1"/>
      <c r="S1487" s="1"/>
    </row>
    <row r="1488" spans="9:19" x14ac:dyDescent="0.3">
      <c r="I1488" s="1"/>
      <c r="S1488" s="1"/>
    </row>
    <row r="1489" spans="9:19" x14ac:dyDescent="0.3">
      <c r="I1489" s="1"/>
      <c r="S1489" s="1"/>
    </row>
    <row r="1490" spans="9:19" x14ac:dyDescent="0.3">
      <c r="I1490" s="1"/>
      <c r="S1490" s="1"/>
    </row>
    <row r="1491" spans="9:19" x14ac:dyDescent="0.3">
      <c r="I1491" s="1"/>
      <c r="S1491" s="1"/>
    </row>
    <row r="1492" spans="9:19" x14ac:dyDescent="0.3">
      <c r="I1492" s="1"/>
      <c r="S1492" s="1"/>
    </row>
    <row r="1493" spans="9:19" x14ac:dyDescent="0.3">
      <c r="I1493" s="1"/>
      <c r="S1493" s="1"/>
    </row>
    <row r="1494" spans="9:19" x14ac:dyDescent="0.3">
      <c r="I1494" s="1"/>
      <c r="S1494" s="1"/>
    </row>
    <row r="1495" spans="9:19" x14ac:dyDescent="0.3">
      <c r="I1495" s="1"/>
      <c r="S1495" s="1"/>
    </row>
    <row r="1496" spans="9:19" x14ac:dyDescent="0.3">
      <c r="I1496" s="1"/>
      <c r="S1496" s="1"/>
    </row>
    <row r="1497" spans="9:19" x14ac:dyDescent="0.3">
      <c r="I1497" s="1"/>
      <c r="S1497" s="1"/>
    </row>
    <row r="1498" spans="9:19" x14ac:dyDescent="0.3">
      <c r="I1498" s="1"/>
      <c r="S1498" s="1"/>
    </row>
    <row r="1499" spans="9:19" x14ac:dyDescent="0.3">
      <c r="I1499" s="1"/>
      <c r="S1499" s="1"/>
    </row>
    <row r="1500" spans="9:19" x14ac:dyDescent="0.3">
      <c r="I1500" s="1"/>
      <c r="S1500" s="1"/>
    </row>
    <row r="1501" spans="9:19" x14ac:dyDescent="0.3">
      <c r="I1501" s="1"/>
      <c r="S1501" s="1"/>
    </row>
    <row r="1502" spans="9:19" x14ac:dyDescent="0.3">
      <c r="I1502" s="1"/>
      <c r="S1502" s="1"/>
    </row>
    <row r="1503" spans="9:19" x14ac:dyDescent="0.3">
      <c r="I1503" s="1"/>
      <c r="S1503" s="1"/>
    </row>
    <row r="1504" spans="9:19" x14ac:dyDescent="0.3">
      <c r="I1504" s="1"/>
      <c r="S1504" s="1"/>
    </row>
    <row r="1505" spans="9:19" x14ac:dyDescent="0.3">
      <c r="I1505" s="1"/>
      <c r="S1505" s="1"/>
    </row>
    <row r="1506" spans="9:19" x14ac:dyDescent="0.3">
      <c r="I1506" s="1"/>
      <c r="S1506" s="1"/>
    </row>
    <row r="1507" spans="9:19" x14ac:dyDescent="0.3">
      <c r="I1507" s="1"/>
      <c r="S1507" s="1"/>
    </row>
    <row r="1508" spans="9:19" x14ac:dyDescent="0.3">
      <c r="I1508" s="1"/>
      <c r="S1508" s="1"/>
    </row>
    <row r="1509" spans="9:19" x14ac:dyDescent="0.3">
      <c r="I1509" s="1"/>
      <c r="S1509" s="1"/>
    </row>
    <row r="1510" spans="9:19" x14ac:dyDescent="0.3">
      <c r="I1510" s="1"/>
      <c r="S1510" s="1"/>
    </row>
    <row r="1511" spans="9:19" x14ac:dyDescent="0.3">
      <c r="I1511" s="1"/>
      <c r="S1511" s="1"/>
    </row>
    <row r="1512" spans="9:19" x14ac:dyDescent="0.3">
      <c r="I1512" s="1"/>
      <c r="S1512" s="1"/>
    </row>
    <row r="1513" spans="9:19" x14ac:dyDescent="0.3">
      <c r="I1513" s="1"/>
      <c r="S1513" s="1"/>
    </row>
    <row r="1514" spans="9:19" x14ac:dyDescent="0.3">
      <c r="I1514" s="1"/>
      <c r="S1514" s="1"/>
    </row>
    <row r="1515" spans="9:19" x14ac:dyDescent="0.3">
      <c r="I1515" s="1"/>
      <c r="S1515" s="1"/>
    </row>
    <row r="1516" spans="9:19" x14ac:dyDescent="0.3">
      <c r="I1516" s="1"/>
      <c r="S1516" s="1"/>
    </row>
    <row r="1517" spans="9:19" x14ac:dyDescent="0.3">
      <c r="I1517" s="1"/>
      <c r="S1517" s="1"/>
    </row>
    <row r="1518" spans="9:19" x14ac:dyDescent="0.3">
      <c r="I1518" s="1"/>
      <c r="S1518" s="1"/>
    </row>
    <row r="1519" spans="9:19" x14ac:dyDescent="0.3">
      <c r="I1519" s="1"/>
      <c r="S1519" s="1"/>
    </row>
    <row r="1520" spans="9:19" x14ac:dyDescent="0.3">
      <c r="I1520" s="1"/>
      <c r="S1520" s="1"/>
    </row>
    <row r="1521" spans="9:19" x14ac:dyDescent="0.3">
      <c r="I1521" s="1"/>
      <c r="S1521" s="1"/>
    </row>
    <row r="1522" spans="9:19" x14ac:dyDescent="0.3">
      <c r="I1522" s="1"/>
      <c r="S1522" s="1"/>
    </row>
    <row r="1523" spans="9:19" x14ac:dyDescent="0.3">
      <c r="I1523" s="1"/>
      <c r="S1523" s="1"/>
    </row>
    <row r="1524" spans="9:19" x14ac:dyDescent="0.3">
      <c r="I1524" s="1"/>
      <c r="S1524" s="1"/>
    </row>
    <row r="1525" spans="9:19" x14ac:dyDescent="0.3">
      <c r="I1525" s="1"/>
      <c r="S1525" s="1"/>
    </row>
    <row r="1526" spans="9:19" x14ac:dyDescent="0.3">
      <c r="I1526" s="1"/>
      <c r="S1526" s="1"/>
    </row>
    <row r="1527" spans="9:19" x14ac:dyDescent="0.3">
      <c r="I1527" s="1"/>
      <c r="S1527" s="1"/>
    </row>
    <row r="1528" spans="9:19" x14ac:dyDescent="0.3">
      <c r="I1528" s="1"/>
      <c r="S1528" s="1"/>
    </row>
    <row r="1529" spans="9:19" x14ac:dyDescent="0.3">
      <c r="I1529" s="1"/>
      <c r="S1529" s="1"/>
    </row>
    <row r="1530" spans="9:19" x14ac:dyDescent="0.3">
      <c r="I1530" s="1"/>
      <c r="S1530" s="1"/>
    </row>
    <row r="1531" spans="9:19" x14ac:dyDescent="0.3">
      <c r="I1531" s="1"/>
      <c r="S1531" s="1"/>
    </row>
    <row r="1532" spans="9:19" x14ac:dyDescent="0.3">
      <c r="I1532" s="1"/>
      <c r="S1532" s="1"/>
    </row>
    <row r="1533" spans="9:19" x14ac:dyDescent="0.3">
      <c r="I1533" s="1"/>
      <c r="S1533" s="1"/>
    </row>
    <row r="1534" spans="9:19" x14ac:dyDescent="0.3">
      <c r="I1534" s="1"/>
      <c r="S1534" s="1"/>
    </row>
    <row r="1535" spans="9:19" x14ac:dyDescent="0.3">
      <c r="I1535" s="1"/>
      <c r="S1535" s="1"/>
    </row>
    <row r="1536" spans="9:19" x14ac:dyDescent="0.3">
      <c r="I1536" s="1"/>
      <c r="S1536" s="1"/>
    </row>
    <row r="1537" spans="9:19" x14ac:dyDescent="0.3">
      <c r="I1537" s="1"/>
      <c r="S1537" s="1"/>
    </row>
    <row r="1538" spans="9:19" x14ac:dyDescent="0.3">
      <c r="I1538" s="1"/>
      <c r="S1538" s="1"/>
    </row>
    <row r="1539" spans="9:19" x14ac:dyDescent="0.3">
      <c r="I1539" s="1"/>
      <c r="S1539" s="1"/>
    </row>
    <row r="1540" spans="9:19" x14ac:dyDescent="0.3">
      <c r="I1540" s="1"/>
      <c r="S1540" s="1"/>
    </row>
    <row r="1541" spans="9:19" x14ac:dyDescent="0.3">
      <c r="I1541" s="1"/>
      <c r="S1541" s="1"/>
    </row>
    <row r="1542" spans="9:19" x14ac:dyDescent="0.3">
      <c r="I1542" s="1"/>
      <c r="S1542" s="1"/>
    </row>
    <row r="1543" spans="9:19" x14ac:dyDescent="0.3">
      <c r="I1543" s="1"/>
      <c r="S1543" s="1"/>
    </row>
    <row r="1544" spans="9:19" x14ac:dyDescent="0.3">
      <c r="I1544" s="1"/>
      <c r="S1544" s="1"/>
    </row>
    <row r="1545" spans="9:19" x14ac:dyDescent="0.3">
      <c r="I1545" s="1"/>
      <c r="S1545" s="1"/>
    </row>
    <row r="1546" spans="9:19" x14ac:dyDescent="0.3">
      <c r="I1546" s="1"/>
      <c r="S1546" s="1"/>
    </row>
    <row r="1547" spans="9:19" x14ac:dyDescent="0.3">
      <c r="I1547" s="1"/>
      <c r="S1547" s="1"/>
    </row>
    <row r="1548" spans="9:19" x14ac:dyDescent="0.3">
      <c r="I1548" s="1"/>
      <c r="S1548" s="1"/>
    </row>
    <row r="1549" spans="9:19" x14ac:dyDescent="0.3">
      <c r="I1549" s="1"/>
      <c r="S1549" s="1"/>
    </row>
    <row r="1550" spans="9:19" x14ac:dyDescent="0.3">
      <c r="I1550" s="1"/>
      <c r="S1550" s="1"/>
    </row>
    <row r="1551" spans="9:19" x14ac:dyDescent="0.3">
      <c r="I1551" s="1"/>
      <c r="S1551" s="1"/>
    </row>
    <row r="1552" spans="9:19" x14ac:dyDescent="0.3">
      <c r="I1552" s="1"/>
      <c r="S1552" s="1"/>
    </row>
    <row r="1553" spans="9:19" x14ac:dyDescent="0.3">
      <c r="I1553" s="1"/>
      <c r="S1553" s="1"/>
    </row>
    <row r="1554" spans="9:19" x14ac:dyDescent="0.3">
      <c r="I1554" s="1"/>
      <c r="S1554" s="1"/>
    </row>
    <row r="1555" spans="9:19" x14ac:dyDescent="0.3">
      <c r="I1555" s="1"/>
      <c r="S1555" s="1"/>
    </row>
    <row r="1556" spans="9:19" x14ac:dyDescent="0.3">
      <c r="I1556" s="1"/>
      <c r="S1556" s="1"/>
    </row>
    <row r="1557" spans="9:19" x14ac:dyDescent="0.3">
      <c r="I1557" s="1"/>
      <c r="S1557" s="1"/>
    </row>
    <row r="1558" spans="9:19" x14ac:dyDescent="0.3">
      <c r="I1558" s="1"/>
      <c r="S1558" s="1"/>
    </row>
    <row r="1559" spans="9:19" x14ac:dyDescent="0.3">
      <c r="I1559" s="1"/>
      <c r="S1559" s="1"/>
    </row>
    <row r="1560" spans="9:19" x14ac:dyDescent="0.3">
      <c r="I1560" s="1"/>
      <c r="S1560" s="1"/>
    </row>
    <row r="1561" spans="9:19" x14ac:dyDescent="0.3">
      <c r="I1561" s="1"/>
      <c r="S1561" s="1"/>
    </row>
    <row r="1562" spans="9:19" x14ac:dyDescent="0.3">
      <c r="I1562" s="1"/>
      <c r="S1562" s="1"/>
    </row>
    <row r="1563" spans="9:19" x14ac:dyDescent="0.3">
      <c r="I1563" s="1"/>
      <c r="S1563" s="1"/>
    </row>
    <row r="1564" spans="9:19" x14ac:dyDescent="0.3">
      <c r="I1564" s="1"/>
      <c r="S1564" s="1"/>
    </row>
    <row r="1565" spans="9:19" x14ac:dyDescent="0.3">
      <c r="I1565" s="1"/>
      <c r="S1565" s="1"/>
    </row>
    <row r="1566" spans="9:19" x14ac:dyDescent="0.3">
      <c r="I1566" s="1"/>
      <c r="S1566" s="1"/>
    </row>
    <row r="1567" spans="9:19" x14ac:dyDescent="0.3">
      <c r="I1567" s="1"/>
      <c r="S1567" s="1"/>
    </row>
    <row r="1568" spans="9:19" x14ac:dyDescent="0.3">
      <c r="I1568" s="1"/>
      <c r="S1568" s="1"/>
    </row>
    <row r="1569" spans="9:19" x14ac:dyDescent="0.3">
      <c r="I1569" s="1"/>
      <c r="S1569" s="1"/>
    </row>
    <row r="1570" spans="9:19" x14ac:dyDescent="0.3">
      <c r="I1570" s="1"/>
      <c r="S1570" s="1"/>
    </row>
    <row r="1571" spans="9:19" x14ac:dyDescent="0.3">
      <c r="I1571" s="1"/>
      <c r="S1571" s="1"/>
    </row>
    <row r="1572" spans="9:19" x14ac:dyDescent="0.3">
      <c r="I1572" s="1"/>
      <c r="S1572" s="1"/>
    </row>
    <row r="1573" spans="9:19" x14ac:dyDescent="0.3">
      <c r="I1573" s="1"/>
      <c r="S1573" s="1"/>
    </row>
    <row r="1574" spans="9:19" x14ac:dyDescent="0.3">
      <c r="I1574" s="1"/>
      <c r="S1574" s="1"/>
    </row>
    <row r="1575" spans="9:19" x14ac:dyDescent="0.3">
      <c r="I1575" s="1"/>
      <c r="S1575" s="1"/>
    </row>
    <row r="1576" spans="9:19" x14ac:dyDescent="0.3">
      <c r="I1576" s="1"/>
      <c r="S1576" s="1"/>
    </row>
    <row r="1577" spans="9:19" x14ac:dyDescent="0.3">
      <c r="I1577" s="1"/>
      <c r="S1577" s="1"/>
    </row>
    <row r="1578" spans="9:19" x14ac:dyDescent="0.3">
      <c r="I1578" s="1"/>
      <c r="S1578" s="1"/>
    </row>
    <row r="1579" spans="9:19" x14ac:dyDescent="0.3">
      <c r="I1579" s="1"/>
      <c r="S1579" s="1"/>
    </row>
    <row r="1580" spans="9:19" x14ac:dyDescent="0.3">
      <c r="I1580" s="1"/>
      <c r="S1580" s="1"/>
    </row>
    <row r="1581" spans="9:19" x14ac:dyDescent="0.3">
      <c r="I1581" s="1"/>
      <c r="S1581" s="1"/>
    </row>
    <row r="1582" spans="9:19" x14ac:dyDescent="0.3">
      <c r="I1582" s="1"/>
      <c r="S1582" s="1"/>
    </row>
    <row r="1583" spans="9:19" x14ac:dyDescent="0.3">
      <c r="I1583" s="1"/>
      <c r="S1583" s="1"/>
    </row>
    <row r="1584" spans="9:19" x14ac:dyDescent="0.3">
      <c r="I1584" s="1"/>
      <c r="S1584" s="1"/>
    </row>
    <row r="1585" spans="9:19" x14ac:dyDescent="0.3">
      <c r="I1585" s="1"/>
      <c r="S1585" s="1"/>
    </row>
    <row r="1586" spans="9:19" x14ac:dyDescent="0.3">
      <c r="I1586" s="1"/>
      <c r="S1586" s="1"/>
    </row>
    <row r="1587" spans="9:19" x14ac:dyDescent="0.3">
      <c r="I1587" s="1"/>
      <c r="S1587" s="1"/>
    </row>
    <row r="1588" spans="9:19" x14ac:dyDescent="0.3">
      <c r="I1588" s="1"/>
      <c r="S1588" s="1"/>
    </row>
    <row r="1589" spans="9:19" x14ac:dyDescent="0.3">
      <c r="I1589" s="1"/>
      <c r="S1589" s="1"/>
    </row>
    <row r="1590" spans="9:19" x14ac:dyDescent="0.3">
      <c r="I1590" s="1"/>
      <c r="S1590" s="1"/>
    </row>
    <row r="1591" spans="9:19" x14ac:dyDescent="0.3">
      <c r="I1591" s="1"/>
      <c r="S1591" s="1"/>
    </row>
    <row r="1592" spans="9:19" x14ac:dyDescent="0.3">
      <c r="I1592" s="1"/>
      <c r="S1592" s="1"/>
    </row>
    <row r="1593" spans="9:19" x14ac:dyDescent="0.3">
      <c r="I1593" s="1"/>
      <c r="S1593" s="1"/>
    </row>
    <row r="1594" spans="9:19" x14ac:dyDescent="0.3">
      <c r="I1594" s="1"/>
      <c r="S1594" s="1"/>
    </row>
    <row r="1595" spans="9:19" x14ac:dyDescent="0.3">
      <c r="I1595" s="1"/>
      <c r="S1595" s="1"/>
    </row>
    <row r="1596" spans="9:19" x14ac:dyDescent="0.3">
      <c r="I1596" s="1"/>
      <c r="S1596" s="1"/>
    </row>
    <row r="1597" spans="9:19" x14ac:dyDescent="0.3">
      <c r="I1597" s="1"/>
      <c r="S1597" s="1"/>
    </row>
    <row r="1598" spans="9:19" x14ac:dyDescent="0.3">
      <c r="I1598" s="1"/>
      <c r="S1598" s="1"/>
    </row>
    <row r="1599" spans="9:19" x14ac:dyDescent="0.3">
      <c r="I1599" s="1"/>
      <c r="S1599" s="1"/>
    </row>
    <row r="1600" spans="9:19" x14ac:dyDescent="0.3">
      <c r="I1600" s="1"/>
      <c r="S1600" s="1"/>
    </row>
    <row r="1601" spans="9:19" x14ac:dyDescent="0.3">
      <c r="I1601" s="1"/>
      <c r="S1601" s="1"/>
    </row>
    <row r="1602" spans="9:19" x14ac:dyDescent="0.3">
      <c r="I1602" s="1"/>
      <c r="S1602" s="1"/>
    </row>
    <row r="1603" spans="9:19" x14ac:dyDescent="0.3">
      <c r="I1603" s="1"/>
      <c r="S1603" s="1"/>
    </row>
    <row r="1604" spans="9:19" x14ac:dyDescent="0.3">
      <c r="I1604" s="1"/>
      <c r="S1604" s="1"/>
    </row>
    <row r="1605" spans="9:19" x14ac:dyDescent="0.3">
      <c r="I1605" s="1"/>
      <c r="S1605" s="1"/>
    </row>
    <row r="1606" spans="9:19" x14ac:dyDescent="0.3">
      <c r="I1606" s="1"/>
      <c r="S1606" s="1"/>
    </row>
    <row r="1607" spans="9:19" x14ac:dyDescent="0.3">
      <c r="I1607" s="1"/>
      <c r="S1607" s="1"/>
    </row>
    <row r="1608" spans="9:19" x14ac:dyDescent="0.3">
      <c r="I1608" s="1"/>
      <c r="S1608" s="1"/>
    </row>
    <row r="1609" spans="9:19" x14ac:dyDescent="0.3">
      <c r="I1609" s="1"/>
      <c r="S1609" s="1"/>
    </row>
    <row r="1610" spans="9:19" x14ac:dyDescent="0.3">
      <c r="I1610" s="1"/>
      <c r="S1610" s="1"/>
    </row>
    <row r="1611" spans="9:19" x14ac:dyDescent="0.3">
      <c r="I1611" s="1"/>
      <c r="S1611" s="1"/>
    </row>
    <row r="1612" spans="9:19" x14ac:dyDescent="0.3">
      <c r="I1612" s="1"/>
      <c r="S1612" s="1"/>
    </row>
    <row r="1613" spans="9:19" x14ac:dyDescent="0.3">
      <c r="I1613" s="1"/>
      <c r="S1613" s="1"/>
    </row>
    <row r="1614" spans="9:19" x14ac:dyDescent="0.3">
      <c r="I1614" s="1"/>
      <c r="S1614" s="1"/>
    </row>
    <row r="1615" spans="9:19" x14ac:dyDescent="0.3">
      <c r="I1615" s="1"/>
      <c r="S1615" s="1"/>
    </row>
    <row r="1616" spans="9:19" x14ac:dyDescent="0.3">
      <c r="I1616" s="1"/>
      <c r="S1616" s="1"/>
    </row>
    <row r="1617" spans="9:19" x14ac:dyDescent="0.3">
      <c r="I1617" s="1"/>
      <c r="S1617" s="1"/>
    </row>
    <row r="1618" spans="9:19" x14ac:dyDescent="0.3">
      <c r="I1618" s="1"/>
      <c r="S1618" s="1"/>
    </row>
    <row r="1619" spans="9:19" x14ac:dyDescent="0.3">
      <c r="I1619" s="1"/>
      <c r="S1619" s="1"/>
    </row>
    <row r="1620" spans="9:19" x14ac:dyDescent="0.3">
      <c r="I1620" s="1"/>
      <c r="S1620" s="1"/>
    </row>
    <row r="1621" spans="9:19" x14ac:dyDescent="0.3">
      <c r="I1621" s="1"/>
      <c r="S1621" s="1"/>
    </row>
    <row r="1622" spans="9:19" x14ac:dyDescent="0.3">
      <c r="I1622" s="1"/>
      <c r="S1622" s="1"/>
    </row>
    <row r="1623" spans="9:19" x14ac:dyDescent="0.3">
      <c r="I1623" s="1"/>
      <c r="S1623" s="1"/>
    </row>
    <row r="1624" spans="9:19" x14ac:dyDescent="0.3">
      <c r="I1624" s="1"/>
      <c r="S1624" s="1"/>
    </row>
    <row r="1625" spans="9:19" x14ac:dyDescent="0.3">
      <c r="I1625" s="1"/>
      <c r="S1625" s="1"/>
    </row>
    <row r="1626" spans="9:19" x14ac:dyDescent="0.3">
      <c r="I1626" s="1"/>
      <c r="S1626" s="1"/>
    </row>
    <row r="1627" spans="9:19" x14ac:dyDescent="0.3">
      <c r="I1627" s="1"/>
      <c r="S1627" s="1"/>
    </row>
    <row r="1628" spans="9:19" x14ac:dyDescent="0.3">
      <c r="I1628" s="1"/>
      <c r="S1628" s="1"/>
    </row>
    <row r="1629" spans="9:19" x14ac:dyDescent="0.3">
      <c r="I1629" s="1"/>
      <c r="S1629" s="1"/>
    </row>
    <row r="1630" spans="9:19" x14ac:dyDescent="0.3">
      <c r="I1630" s="1"/>
      <c r="S1630" s="1"/>
    </row>
    <row r="1631" spans="9:19" x14ac:dyDescent="0.3">
      <c r="I1631" s="1"/>
      <c r="S1631" s="1"/>
    </row>
    <row r="1632" spans="9:19" x14ac:dyDescent="0.3">
      <c r="I1632" s="1"/>
      <c r="S1632" s="1"/>
    </row>
    <row r="1633" spans="9:19" x14ac:dyDescent="0.3">
      <c r="I1633" s="1"/>
      <c r="S1633" s="1"/>
    </row>
    <row r="1634" spans="9:19" x14ac:dyDescent="0.3">
      <c r="I1634" s="1"/>
      <c r="S1634" s="1"/>
    </row>
    <row r="1635" spans="9:19" x14ac:dyDescent="0.3">
      <c r="I1635" s="1"/>
      <c r="S1635" s="1"/>
    </row>
    <row r="1636" spans="9:19" x14ac:dyDescent="0.3">
      <c r="I1636" s="1"/>
      <c r="S1636" s="1"/>
    </row>
    <row r="1637" spans="9:19" x14ac:dyDescent="0.3">
      <c r="I1637" s="1"/>
      <c r="S1637" s="1"/>
    </row>
    <row r="1638" spans="9:19" x14ac:dyDescent="0.3">
      <c r="I1638" s="1"/>
      <c r="S1638" s="1"/>
    </row>
    <row r="1639" spans="9:19" x14ac:dyDescent="0.3">
      <c r="I1639" s="1"/>
      <c r="S1639" s="1"/>
    </row>
    <row r="1640" spans="9:19" x14ac:dyDescent="0.3">
      <c r="I1640" s="1"/>
      <c r="S1640" s="1"/>
    </row>
    <row r="1641" spans="9:19" x14ac:dyDescent="0.3">
      <c r="I1641" s="1"/>
      <c r="S1641" s="1"/>
    </row>
    <row r="1642" spans="9:19" x14ac:dyDescent="0.3">
      <c r="I1642" s="1"/>
      <c r="S1642" s="1"/>
    </row>
    <row r="1643" spans="9:19" x14ac:dyDescent="0.3">
      <c r="I1643" s="1"/>
      <c r="S1643" s="1"/>
    </row>
    <row r="1644" spans="9:19" x14ac:dyDescent="0.3">
      <c r="I1644" s="1"/>
      <c r="S1644" s="1"/>
    </row>
    <row r="1645" spans="9:19" x14ac:dyDescent="0.3">
      <c r="I1645" s="1"/>
      <c r="S1645" s="1"/>
    </row>
    <row r="1646" spans="9:19" x14ac:dyDescent="0.3">
      <c r="I1646" s="1"/>
      <c r="S1646" s="1"/>
    </row>
    <row r="1647" spans="9:19" x14ac:dyDescent="0.3">
      <c r="I1647" s="1"/>
      <c r="S1647" s="1"/>
    </row>
    <row r="1648" spans="9:19" x14ac:dyDescent="0.3">
      <c r="I1648" s="1"/>
      <c r="S1648" s="1"/>
    </row>
    <row r="1649" spans="9:19" x14ac:dyDescent="0.3">
      <c r="I1649" s="1"/>
      <c r="S1649" s="1"/>
    </row>
    <row r="1650" spans="9:19" x14ac:dyDescent="0.3">
      <c r="I1650" s="1"/>
      <c r="S1650" s="1"/>
    </row>
    <row r="1651" spans="9:19" x14ac:dyDescent="0.3">
      <c r="I1651" s="1"/>
      <c r="S1651" s="1"/>
    </row>
    <row r="1652" spans="9:19" x14ac:dyDescent="0.3">
      <c r="I1652" s="1"/>
      <c r="S1652" s="1"/>
    </row>
    <row r="1653" spans="9:19" x14ac:dyDescent="0.3">
      <c r="I1653" s="1"/>
      <c r="S1653" s="1"/>
    </row>
    <row r="1654" spans="9:19" x14ac:dyDescent="0.3">
      <c r="I1654" s="1"/>
      <c r="S1654" s="1"/>
    </row>
    <row r="1655" spans="9:19" x14ac:dyDescent="0.3">
      <c r="I1655" s="1"/>
      <c r="S1655" s="1"/>
    </row>
    <row r="1656" spans="9:19" x14ac:dyDescent="0.3">
      <c r="I1656" s="1"/>
      <c r="S1656" s="1"/>
    </row>
    <row r="1657" spans="9:19" x14ac:dyDescent="0.3">
      <c r="I1657" s="1"/>
      <c r="S1657" s="1"/>
    </row>
    <row r="1658" spans="9:19" x14ac:dyDescent="0.3">
      <c r="I1658" s="1"/>
      <c r="S1658" s="1"/>
    </row>
    <row r="1659" spans="9:19" x14ac:dyDescent="0.3">
      <c r="I1659" s="1"/>
      <c r="S1659" s="1"/>
    </row>
    <row r="1660" spans="9:19" x14ac:dyDescent="0.3">
      <c r="I1660" s="1"/>
      <c r="S1660" s="1"/>
    </row>
    <row r="1661" spans="9:19" x14ac:dyDescent="0.3">
      <c r="I1661" s="1"/>
      <c r="S1661" s="1"/>
    </row>
    <row r="1662" spans="9:19" x14ac:dyDescent="0.3">
      <c r="I1662" s="1"/>
      <c r="S1662" s="1"/>
    </row>
    <row r="1663" spans="9:19" x14ac:dyDescent="0.3">
      <c r="I1663" s="1"/>
      <c r="S1663" s="1"/>
    </row>
    <row r="1664" spans="9:19" x14ac:dyDescent="0.3">
      <c r="I1664" s="1"/>
      <c r="S1664" s="1"/>
    </row>
    <row r="1665" spans="9:19" x14ac:dyDescent="0.3">
      <c r="I1665" s="1"/>
      <c r="S1665" s="1"/>
    </row>
    <row r="1666" spans="9:19" x14ac:dyDescent="0.3">
      <c r="I1666" s="1"/>
      <c r="S1666" s="1"/>
    </row>
    <row r="1667" spans="9:19" x14ac:dyDescent="0.3">
      <c r="I1667" s="1"/>
      <c r="S1667" s="1"/>
    </row>
    <row r="1668" spans="9:19" x14ac:dyDescent="0.3">
      <c r="I1668" s="1"/>
      <c r="S1668" s="1"/>
    </row>
    <row r="1669" spans="9:19" x14ac:dyDescent="0.3">
      <c r="I1669" s="1"/>
      <c r="S1669" s="1"/>
    </row>
    <row r="1670" spans="9:19" x14ac:dyDescent="0.3">
      <c r="I1670" s="1"/>
      <c r="S1670" s="1"/>
    </row>
    <row r="1671" spans="9:19" x14ac:dyDescent="0.3">
      <c r="I1671" s="1"/>
      <c r="S1671" s="1"/>
    </row>
    <row r="1672" spans="9:19" x14ac:dyDescent="0.3">
      <c r="I1672" s="1"/>
      <c r="S1672" s="1"/>
    </row>
    <row r="1673" spans="9:19" x14ac:dyDescent="0.3">
      <c r="I1673" s="1"/>
      <c r="S1673" s="1"/>
    </row>
    <row r="1674" spans="9:19" x14ac:dyDescent="0.3">
      <c r="I1674" s="1"/>
      <c r="S1674" s="1"/>
    </row>
    <row r="1675" spans="9:19" x14ac:dyDescent="0.3">
      <c r="I1675" s="1"/>
      <c r="S1675" s="1"/>
    </row>
    <row r="1676" spans="9:19" x14ac:dyDescent="0.3">
      <c r="I1676" s="1"/>
      <c r="S1676" s="1"/>
    </row>
    <row r="1677" spans="9:19" x14ac:dyDescent="0.3">
      <c r="I1677" s="1"/>
      <c r="S1677" s="1"/>
    </row>
    <row r="1678" spans="9:19" x14ac:dyDescent="0.3">
      <c r="I1678" s="1"/>
      <c r="S1678" s="1"/>
    </row>
    <row r="1679" spans="9:19" x14ac:dyDescent="0.3">
      <c r="I1679" s="1"/>
      <c r="S1679" s="1"/>
    </row>
    <row r="1680" spans="9:19" x14ac:dyDescent="0.3">
      <c r="I1680" s="1"/>
      <c r="S1680" s="1"/>
    </row>
    <row r="1681" spans="9:19" x14ac:dyDescent="0.3">
      <c r="I1681" s="1"/>
      <c r="S1681" s="1"/>
    </row>
    <row r="1682" spans="9:19" x14ac:dyDescent="0.3">
      <c r="I1682" s="1"/>
      <c r="S1682" s="1"/>
    </row>
    <row r="1683" spans="9:19" x14ac:dyDescent="0.3">
      <c r="I1683" s="1"/>
      <c r="S1683" s="1"/>
    </row>
    <row r="1684" spans="9:19" x14ac:dyDescent="0.3">
      <c r="I1684" s="1"/>
      <c r="S1684" s="1"/>
    </row>
    <row r="1685" spans="9:19" x14ac:dyDescent="0.3">
      <c r="I1685" s="1"/>
      <c r="S1685" s="1"/>
    </row>
    <row r="1686" spans="9:19" x14ac:dyDescent="0.3">
      <c r="I1686" s="1"/>
      <c r="S1686" s="1"/>
    </row>
    <row r="1687" spans="9:19" x14ac:dyDescent="0.3">
      <c r="I1687" s="1"/>
      <c r="S1687" s="1"/>
    </row>
    <row r="1688" spans="9:19" x14ac:dyDescent="0.3">
      <c r="I1688" s="1"/>
      <c r="S1688" s="1"/>
    </row>
    <row r="1689" spans="9:19" x14ac:dyDescent="0.3">
      <c r="I1689" s="1"/>
      <c r="S1689" s="1"/>
    </row>
    <row r="1690" spans="9:19" x14ac:dyDescent="0.3">
      <c r="I1690" s="1"/>
      <c r="S1690" s="1"/>
    </row>
    <row r="1691" spans="9:19" x14ac:dyDescent="0.3">
      <c r="I1691" s="1"/>
      <c r="S1691" s="1"/>
    </row>
    <row r="1692" spans="9:19" x14ac:dyDescent="0.3">
      <c r="I1692" s="1"/>
      <c r="S1692" s="1"/>
    </row>
    <row r="1693" spans="9:19" x14ac:dyDescent="0.3">
      <c r="I1693" s="1"/>
      <c r="S1693" s="1"/>
    </row>
    <row r="1694" spans="9:19" x14ac:dyDescent="0.3">
      <c r="I1694" s="1"/>
      <c r="S1694" s="1"/>
    </row>
    <row r="1695" spans="9:19" x14ac:dyDescent="0.3">
      <c r="I1695" s="1"/>
      <c r="S1695" s="1"/>
    </row>
    <row r="1696" spans="9:19" x14ac:dyDescent="0.3">
      <c r="I1696" s="1"/>
      <c r="S1696" s="1"/>
    </row>
    <row r="1697" spans="9:19" x14ac:dyDescent="0.3">
      <c r="I1697" s="1"/>
      <c r="S1697" s="1"/>
    </row>
    <row r="1698" spans="9:19" x14ac:dyDescent="0.3">
      <c r="I1698" s="1"/>
      <c r="S1698" s="1"/>
    </row>
    <row r="1699" spans="9:19" x14ac:dyDescent="0.3">
      <c r="I1699" s="1"/>
      <c r="S1699" s="1"/>
    </row>
    <row r="1700" spans="9:19" x14ac:dyDescent="0.3">
      <c r="I1700" s="1"/>
      <c r="S1700" s="1"/>
    </row>
    <row r="1701" spans="9:19" x14ac:dyDescent="0.3">
      <c r="I1701" s="1"/>
      <c r="S1701" s="1"/>
    </row>
    <row r="1702" spans="9:19" x14ac:dyDescent="0.3">
      <c r="I1702" s="1"/>
      <c r="S1702" s="1"/>
    </row>
    <row r="1703" spans="9:19" x14ac:dyDescent="0.3">
      <c r="I1703" s="1"/>
      <c r="S1703" s="1"/>
    </row>
    <row r="1704" spans="9:19" x14ac:dyDescent="0.3">
      <c r="I1704" s="1"/>
      <c r="S1704" s="1"/>
    </row>
    <row r="1705" spans="9:19" x14ac:dyDescent="0.3">
      <c r="I1705" s="1"/>
      <c r="S1705" s="1"/>
    </row>
    <row r="1706" spans="9:19" x14ac:dyDescent="0.3">
      <c r="I1706" s="1"/>
      <c r="S1706" s="1"/>
    </row>
    <row r="1707" spans="9:19" x14ac:dyDescent="0.3">
      <c r="I1707" s="1"/>
      <c r="S1707" s="1"/>
    </row>
    <row r="1708" spans="9:19" x14ac:dyDescent="0.3">
      <c r="I1708" s="1"/>
      <c r="S1708" s="1"/>
    </row>
    <row r="1709" spans="9:19" x14ac:dyDescent="0.3">
      <c r="I1709" s="1"/>
      <c r="S1709" s="1"/>
    </row>
    <row r="1710" spans="9:19" x14ac:dyDescent="0.3">
      <c r="I1710" s="1"/>
      <c r="S1710" s="1"/>
    </row>
    <row r="1711" spans="9:19" x14ac:dyDescent="0.3">
      <c r="I1711" s="1"/>
      <c r="S1711" s="1"/>
    </row>
    <row r="1712" spans="9:19" x14ac:dyDescent="0.3">
      <c r="I1712" s="1"/>
      <c r="S1712" s="1"/>
    </row>
    <row r="1713" spans="9:19" x14ac:dyDescent="0.3">
      <c r="I1713" s="1"/>
      <c r="S1713" s="1"/>
    </row>
    <row r="1714" spans="9:19" x14ac:dyDescent="0.3">
      <c r="I1714" s="1"/>
      <c r="S1714" s="1"/>
    </row>
    <row r="1715" spans="9:19" x14ac:dyDescent="0.3">
      <c r="I1715" s="1"/>
      <c r="S1715" s="1"/>
    </row>
    <row r="1716" spans="9:19" x14ac:dyDescent="0.3">
      <c r="I1716" s="1"/>
      <c r="S1716" s="1"/>
    </row>
    <row r="1717" spans="9:19" x14ac:dyDescent="0.3">
      <c r="I1717" s="1"/>
      <c r="S1717" s="1"/>
    </row>
    <row r="1718" spans="9:19" x14ac:dyDescent="0.3">
      <c r="I1718" s="1"/>
      <c r="S1718" s="1"/>
    </row>
    <row r="1719" spans="9:19" x14ac:dyDescent="0.3">
      <c r="I1719" s="1"/>
      <c r="S1719" s="1"/>
    </row>
    <row r="1720" spans="9:19" x14ac:dyDescent="0.3">
      <c r="I1720" s="1"/>
      <c r="S1720" s="1"/>
    </row>
    <row r="1721" spans="9:19" x14ac:dyDescent="0.3">
      <c r="I1721" s="1"/>
      <c r="S1721" s="1"/>
    </row>
    <row r="1722" spans="9:19" x14ac:dyDescent="0.3">
      <c r="I1722" s="1"/>
      <c r="S1722" s="1"/>
    </row>
    <row r="1723" spans="9:19" x14ac:dyDescent="0.3">
      <c r="I1723" s="1"/>
      <c r="S1723" s="1"/>
    </row>
    <row r="1724" spans="9:19" x14ac:dyDescent="0.3">
      <c r="I1724" s="1"/>
      <c r="S1724" s="1"/>
    </row>
    <row r="1725" spans="9:19" x14ac:dyDescent="0.3">
      <c r="I1725" s="1"/>
      <c r="S1725" s="1"/>
    </row>
    <row r="1726" spans="9:19" x14ac:dyDescent="0.3">
      <c r="I1726" s="1"/>
      <c r="S1726" s="1"/>
    </row>
    <row r="1727" spans="9:19" x14ac:dyDescent="0.3">
      <c r="I1727" s="1"/>
      <c r="S1727" s="1"/>
    </row>
    <row r="1728" spans="9:19" x14ac:dyDescent="0.3">
      <c r="I1728" s="1"/>
      <c r="S1728" s="1"/>
    </row>
    <row r="1729" spans="9:19" x14ac:dyDescent="0.3">
      <c r="I1729" s="1"/>
      <c r="S1729" s="1"/>
    </row>
    <row r="1730" spans="9:19" x14ac:dyDescent="0.3">
      <c r="I1730" s="1"/>
      <c r="S1730" s="1"/>
    </row>
    <row r="1731" spans="9:19" x14ac:dyDescent="0.3">
      <c r="I1731" s="1"/>
      <c r="S1731" s="1"/>
    </row>
    <row r="1732" spans="9:19" x14ac:dyDescent="0.3">
      <c r="I1732" s="1"/>
      <c r="S1732" s="1"/>
    </row>
    <row r="1733" spans="9:19" x14ac:dyDescent="0.3">
      <c r="I1733" s="1"/>
      <c r="S1733" s="1"/>
    </row>
    <row r="1734" spans="9:19" x14ac:dyDescent="0.3">
      <c r="I1734" s="1"/>
      <c r="S1734" s="1"/>
    </row>
    <row r="1735" spans="9:19" x14ac:dyDescent="0.3">
      <c r="I1735" s="1"/>
      <c r="S1735" s="1"/>
    </row>
    <row r="1736" spans="9:19" x14ac:dyDescent="0.3">
      <c r="I1736" s="1"/>
      <c r="S1736" s="1"/>
    </row>
    <row r="1737" spans="9:19" x14ac:dyDescent="0.3">
      <c r="I1737" s="1"/>
      <c r="S1737" s="1"/>
    </row>
    <row r="1738" spans="9:19" x14ac:dyDescent="0.3">
      <c r="I1738" s="1"/>
      <c r="S1738" s="1"/>
    </row>
    <row r="1739" spans="9:19" x14ac:dyDescent="0.3">
      <c r="I1739" s="1"/>
      <c r="S1739" s="1"/>
    </row>
    <row r="1740" spans="9:19" x14ac:dyDescent="0.3">
      <c r="I1740" s="1"/>
      <c r="S1740" s="1"/>
    </row>
    <row r="1741" spans="9:19" x14ac:dyDescent="0.3">
      <c r="I1741" s="1"/>
      <c r="S1741" s="1"/>
    </row>
    <row r="1742" spans="9:19" x14ac:dyDescent="0.3">
      <c r="I1742" s="1"/>
      <c r="S1742" s="1"/>
    </row>
    <row r="1743" spans="9:19" x14ac:dyDescent="0.3">
      <c r="I1743" s="1"/>
      <c r="S1743" s="1"/>
    </row>
    <row r="1744" spans="9:19" x14ac:dyDescent="0.3">
      <c r="I1744" s="1"/>
      <c r="S1744" s="1"/>
    </row>
    <row r="1745" spans="9:19" x14ac:dyDescent="0.3">
      <c r="I1745" s="1"/>
      <c r="S1745" s="1"/>
    </row>
    <row r="1746" spans="9:19" x14ac:dyDescent="0.3">
      <c r="I1746" s="1"/>
      <c r="S1746" s="1"/>
    </row>
    <row r="1747" spans="9:19" x14ac:dyDescent="0.3">
      <c r="I1747" s="1"/>
      <c r="S1747" s="1"/>
    </row>
    <row r="1748" spans="9:19" x14ac:dyDescent="0.3">
      <c r="I1748" s="1"/>
      <c r="S1748" s="1"/>
    </row>
    <row r="1749" spans="9:19" x14ac:dyDescent="0.3">
      <c r="I1749" s="1"/>
      <c r="S1749" s="1"/>
    </row>
    <row r="1750" spans="9:19" x14ac:dyDescent="0.3">
      <c r="I1750" s="1"/>
      <c r="S1750" s="1"/>
    </row>
    <row r="1751" spans="9:19" x14ac:dyDescent="0.3">
      <c r="I1751" s="1"/>
      <c r="S1751" s="1"/>
    </row>
    <row r="1752" spans="9:19" x14ac:dyDescent="0.3">
      <c r="I1752" s="1"/>
      <c r="S1752" s="1"/>
    </row>
    <row r="1753" spans="9:19" x14ac:dyDescent="0.3">
      <c r="I1753" s="1"/>
      <c r="S1753" s="1"/>
    </row>
    <row r="1754" spans="9:19" x14ac:dyDescent="0.3">
      <c r="I1754" s="1"/>
      <c r="S1754" s="1"/>
    </row>
    <row r="1755" spans="9:19" x14ac:dyDescent="0.3">
      <c r="I1755" s="1"/>
      <c r="S1755" s="1"/>
    </row>
    <row r="1756" spans="9:19" x14ac:dyDescent="0.3">
      <c r="I1756" s="1"/>
      <c r="S1756" s="1"/>
    </row>
    <row r="1757" spans="9:19" x14ac:dyDescent="0.3">
      <c r="I1757" s="1"/>
      <c r="S1757" s="1"/>
    </row>
    <row r="1758" spans="9:19" x14ac:dyDescent="0.3">
      <c r="I1758" s="1"/>
      <c r="S1758" s="1"/>
    </row>
    <row r="1759" spans="9:19" x14ac:dyDescent="0.3">
      <c r="I1759" s="1"/>
      <c r="S1759" s="1"/>
    </row>
    <row r="1760" spans="9:19" x14ac:dyDescent="0.3">
      <c r="I1760" s="1"/>
      <c r="S1760" s="1"/>
    </row>
    <row r="1761" spans="9:19" x14ac:dyDescent="0.3">
      <c r="I1761" s="1"/>
      <c r="S1761" s="1"/>
    </row>
    <row r="1762" spans="9:19" x14ac:dyDescent="0.3">
      <c r="I1762" s="1"/>
      <c r="S1762" s="1"/>
    </row>
    <row r="1763" spans="9:19" x14ac:dyDescent="0.3">
      <c r="I1763" s="1"/>
      <c r="S1763" s="1"/>
    </row>
    <row r="1764" spans="9:19" x14ac:dyDescent="0.3">
      <c r="I1764" s="1"/>
      <c r="S1764" s="1"/>
    </row>
    <row r="1765" spans="9:19" x14ac:dyDescent="0.3">
      <c r="I1765" s="1"/>
      <c r="S1765" s="1"/>
    </row>
    <row r="1766" spans="9:19" x14ac:dyDescent="0.3">
      <c r="I1766" s="1"/>
      <c r="S1766" s="1"/>
    </row>
    <row r="1767" spans="9:19" x14ac:dyDescent="0.3">
      <c r="I1767" s="1"/>
      <c r="S1767" s="1"/>
    </row>
    <row r="1768" spans="9:19" x14ac:dyDescent="0.3">
      <c r="I1768" s="1"/>
      <c r="S1768" s="1"/>
    </row>
    <row r="1769" spans="9:19" x14ac:dyDescent="0.3">
      <c r="I1769" s="1"/>
      <c r="S1769" s="1"/>
    </row>
    <row r="1770" spans="9:19" x14ac:dyDescent="0.3">
      <c r="I1770" s="1"/>
      <c r="S1770" s="1"/>
    </row>
    <row r="1771" spans="9:19" x14ac:dyDescent="0.3">
      <c r="I1771" s="1"/>
      <c r="S1771" s="1"/>
    </row>
    <row r="1772" spans="9:19" x14ac:dyDescent="0.3">
      <c r="I1772" s="1"/>
      <c r="S1772" s="1"/>
    </row>
    <row r="1773" spans="9:19" x14ac:dyDescent="0.3">
      <c r="I1773" s="1"/>
      <c r="S1773" s="1"/>
    </row>
    <row r="1774" spans="9:19" x14ac:dyDescent="0.3">
      <c r="I1774" s="1"/>
      <c r="S1774" s="1"/>
    </row>
    <row r="1775" spans="9:19" x14ac:dyDescent="0.3">
      <c r="I1775" s="1"/>
      <c r="S1775" s="1"/>
    </row>
    <row r="1776" spans="9:19" x14ac:dyDescent="0.3">
      <c r="I1776" s="1"/>
      <c r="S1776" s="1"/>
    </row>
    <row r="1777" spans="9:19" x14ac:dyDescent="0.3">
      <c r="I1777" s="1"/>
      <c r="S1777" s="1"/>
    </row>
    <row r="1778" spans="9:19" x14ac:dyDescent="0.3">
      <c r="I1778" s="1"/>
      <c r="S1778" s="1"/>
    </row>
    <row r="1779" spans="9:19" x14ac:dyDescent="0.3">
      <c r="I1779" s="1"/>
      <c r="S1779" s="1"/>
    </row>
    <row r="1780" spans="9:19" x14ac:dyDescent="0.3">
      <c r="I1780" s="1"/>
      <c r="S1780" s="1"/>
    </row>
    <row r="1781" spans="9:19" x14ac:dyDescent="0.3">
      <c r="I1781" s="1"/>
      <c r="S1781" s="1"/>
    </row>
    <row r="1782" spans="9:19" x14ac:dyDescent="0.3">
      <c r="I1782" s="1"/>
      <c r="S1782" s="1"/>
    </row>
    <row r="1783" spans="9:19" x14ac:dyDescent="0.3">
      <c r="I1783" s="1"/>
      <c r="S1783" s="1"/>
    </row>
    <row r="1784" spans="9:19" x14ac:dyDescent="0.3">
      <c r="I1784" s="1"/>
      <c r="S1784" s="1"/>
    </row>
    <row r="1785" spans="9:19" x14ac:dyDescent="0.3">
      <c r="I1785" s="1"/>
      <c r="S1785" s="1"/>
    </row>
    <row r="1786" spans="9:19" x14ac:dyDescent="0.3">
      <c r="I1786" s="1"/>
      <c r="S1786" s="1"/>
    </row>
    <row r="1787" spans="9:19" x14ac:dyDescent="0.3">
      <c r="I1787" s="1"/>
      <c r="S1787" s="1"/>
    </row>
    <row r="1788" spans="9:19" x14ac:dyDescent="0.3">
      <c r="I1788" s="1"/>
      <c r="S1788" s="1"/>
    </row>
    <row r="1789" spans="9:19" x14ac:dyDescent="0.3">
      <c r="I1789" s="1"/>
      <c r="S1789" s="1"/>
    </row>
    <row r="1790" spans="9:19" x14ac:dyDescent="0.3">
      <c r="I1790" s="1"/>
      <c r="S1790" s="1"/>
    </row>
    <row r="1791" spans="9:19" x14ac:dyDescent="0.3">
      <c r="I1791" s="1"/>
      <c r="S1791" s="1"/>
    </row>
    <row r="1792" spans="9:19" x14ac:dyDescent="0.3">
      <c r="I1792" s="1"/>
      <c r="S1792" s="1"/>
    </row>
    <row r="1793" spans="9:19" x14ac:dyDescent="0.3">
      <c r="I1793" s="1"/>
      <c r="S1793" s="1"/>
    </row>
    <row r="1794" spans="9:19" x14ac:dyDescent="0.3">
      <c r="I1794" s="1"/>
      <c r="S1794" s="1"/>
    </row>
    <row r="1795" spans="9:19" x14ac:dyDescent="0.3">
      <c r="I1795" s="1"/>
      <c r="S1795" s="1"/>
    </row>
    <row r="1796" spans="9:19" x14ac:dyDescent="0.3">
      <c r="I1796" s="1"/>
      <c r="S1796" s="1"/>
    </row>
    <row r="1797" spans="9:19" x14ac:dyDescent="0.3">
      <c r="I1797" s="1"/>
      <c r="S1797" s="1"/>
    </row>
    <row r="1798" spans="9:19" x14ac:dyDescent="0.3">
      <c r="I1798" s="1"/>
      <c r="S1798" s="1"/>
    </row>
    <row r="1799" spans="9:19" x14ac:dyDescent="0.3">
      <c r="I1799" s="1"/>
      <c r="S1799" s="1"/>
    </row>
    <row r="1800" spans="9:19" x14ac:dyDescent="0.3">
      <c r="I1800" s="1"/>
      <c r="S1800" s="1"/>
    </row>
    <row r="1801" spans="9:19" x14ac:dyDescent="0.3">
      <c r="I1801" s="1"/>
      <c r="S1801" s="1"/>
    </row>
    <row r="1802" spans="9:19" x14ac:dyDescent="0.3">
      <c r="I1802" s="1"/>
      <c r="S1802" s="1"/>
    </row>
    <row r="1803" spans="9:19" x14ac:dyDescent="0.3">
      <c r="I1803" s="1"/>
      <c r="S1803" s="1"/>
    </row>
    <row r="1804" spans="9:19" x14ac:dyDescent="0.3">
      <c r="I1804" s="1"/>
      <c r="S1804" s="1"/>
    </row>
    <row r="1805" spans="9:19" x14ac:dyDescent="0.3">
      <c r="I1805" s="1"/>
      <c r="S1805" s="1"/>
    </row>
    <row r="1806" spans="9:19" x14ac:dyDescent="0.3">
      <c r="I1806" s="1"/>
      <c r="S1806" s="1"/>
    </row>
    <row r="1807" spans="9:19" x14ac:dyDescent="0.3">
      <c r="I1807" s="1"/>
      <c r="S1807" s="1"/>
    </row>
    <row r="1808" spans="9:19" x14ac:dyDescent="0.3">
      <c r="I1808" s="1"/>
      <c r="S1808" s="1"/>
    </row>
    <row r="1809" spans="9:19" x14ac:dyDescent="0.3">
      <c r="I1809" s="1"/>
      <c r="S1809" s="1"/>
    </row>
    <row r="1810" spans="9:19" x14ac:dyDescent="0.3">
      <c r="I1810" s="1"/>
      <c r="S1810" s="1"/>
    </row>
    <row r="1811" spans="9:19" x14ac:dyDescent="0.3">
      <c r="I1811" s="1"/>
      <c r="S1811" s="1"/>
    </row>
    <row r="1812" spans="9:19" x14ac:dyDescent="0.3">
      <c r="I1812" s="1"/>
      <c r="S1812" s="1"/>
    </row>
    <row r="1813" spans="9:19" x14ac:dyDescent="0.3">
      <c r="I1813" s="1"/>
      <c r="S1813" s="1"/>
    </row>
    <row r="1814" spans="9:19" x14ac:dyDescent="0.3">
      <c r="I1814" s="1"/>
      <c r="S1814" s="1"/>
    </row>
    <row r="1815" spans="9:19" x14ac:dyDescent="0.3">
      <c r="I1815" s="1"/>
      <c r="S1815" s="1"/>
    </row>
    <row r="1816" spans="9:19" x14ac:dyDescent="0.3">
      <c r="I1816" s="1"/>
      <c r="S1816" s="1"/>
    </row>
    <row r="1817" spans="9:19" x14ac:dyDescent="0.3">
      <c r="I1817" s="1"/>
      <c r="S1817" s="1"/>
    </row>
    <row r="1818" spans="9:19" x14ac:dyDescent="0.3">
      <c r="I1818" s="1"/>
      <c r="S1818" s="1"/>
    </row>
    <row r="1819" spans="9:19" x14ac:dyDescent="0.3">
      <c r="I1819" s="1"/>
      <c r="S1819" s="1"/>
    </row>
    <row r="1820" spans="9:19" x14ac:dyDescent="0.3">
      <c r="I1820" s="1"/>
      <c r="S1820" s="1"/>
    </row>
    <row r="1821" spans="9:19" x14ac:dyDescent="0.3">
      <c r="I1821" s="1"/>
      <c r="S1821" s="1"/>
    </row>
    <row r="1822" spans="9:19" x14ac:dyDescent="0.3">
      <c r="I1822" s="1"/>
      <c r="S1822" s="1"/>
    </row>
    <row r="1823" spans="9:19" x14ac:dyDescent="0.3">
      <c r="I1823" s="1"/>
      <c r="S1823" s="1"/>
    </row>
    <row r="1824" spans="9:19" x14ac:dyDescent="0.3">
      <c r="I1824" s="1"/>
      <c r="S1824" s="1"/>
    </row>
    <row r="1825" spans="9:19" x14ac:dyDescent="0.3">
      <c r="I1825" s="1"/>
      <c r="S1825" s="1"/>
    </row>
    <row r="1826" spans="9:19" x14ac:dyDescent="0.3">
      <c r="I1826" s="1"/>
      <c r="S1826" s="1"/>
    </row>
    <row r="1827" spans="9:19" x14ac:dyDescent="0.3">
      <c r="I1827" s="1"/>
      <c r="S1827" s="1"/>
    </row>
    <row r="1828" spans="9:19" x14ac:dyDescent="0.3">
      <c r="I1828" s="1"/>
      <c r="S1828" s="1"/>
    </row>
    <row r="1829" spans="9:19" x14ac:dyDescent="0.3">
      <c r="I1829" s="1"/>
      <c r="S1829" s="1"/>
    </row>
    <row r="1830" spans="9:19" x14ac:dyDescent="0.3">
      <c r="I1830" s="1"/>
      <c r="S1830" s="1"/>
    </row>
    <row r="1831" spans="9:19" x14ac:dyDescent="0.3">
      <c r="I1831" s="1"/>
      <c r="S1831" s="1"/>
    </row>
    <row r="1832" spans="9:19" x14ac:dyDescent="0.3">
      <c r="I1832" s="1"/>
      <c r="S1832" s="1"/>
    </row>
    <row r="1833" spans="9:19" x14ac:dyDescent="0.3">
      <c r="I1833" s="1"/>
      <c r="S1833" s="1"/>
    </row>
    <row r="1834" spans="9:19" x14ac:dyDescent="0.3">
      <c r="I1834" s="1"/>
      <c r="S1834" s="1"/>
    </row>
    <row r="1835" spans="9:19" x14ac:dyDescent="0.3">
      <c r="I1835" s="1"/>
      <c r="S1835" s="1"/>
    </row>
    <row r="1836" spans="9:19" x14ac:dyDescent="0.3">
      <c r="I1836" s="1"/>
      <c r="S1836" s="1"/>
    </row>
    <row r="1837" spans="9:19" x14ac:dyDescent="0.3">
      <c r="I1837" s="1"/>
      <c r="S1837" s="1"/>
    </row>
    <row r="1838" spans="9:19" x14ac:dyDescent="0.3">
      <c r="I1838" s="1"/>
      <c r="S1838" s="1"/>
    </row>
    <row r="1839" spans="9:19" x14ac:dyDescent="0.3">
      <c r="I1839" s="1"/>
      <c r="S1839" s="1"/>
    </row>
    <row r="1840" spans="9:19" x14ac:dyDescent="0.3">
      <c r="I1840" s="1"/>
      <c r="S1840" s="1"/>
    </row>
    <row r="1841" spans="9:19" x14ac:dyDescent="0.3">
      <c r="I1841" s="1"/>
      <c r="S1841" s="1"/>
    </row>
    <row r="1842" spans="9:19" x14ac:dyDescent="0.3">
      <c r="I1842" s="1"/>
      <c r="S1842" s="1"/>
    </row>
    <row r="1843" spans="9:19" x14ac:dyDescent="0.3">
      <c r="I1843" s="1"/>
      <c r="S1843" s="1"/>
    </row>
    <row r="1844" spans="9:19" x14ac:dyDescent="0.3">
      <c r="I1844" s="1"/>
      <c r="S1844" s="1"/>
    </row>
    <row r="1845" spans="9:19" x14ac:dyDescent="0.3">
      <c r="I1845" s="1"/>
      <c r="S1845" s="1"/>
    </row>
    <row r="1846" spans="9:19" x14ac:dyDescent="0.3">
      <c r="I1846" s="1"/>
      <c r="S1846" s="1"/>
    </row>
    <row r="1847" spans="9:19" x14ac:dyDescent="0.3">
      <c r="I1847" s="1"/>
      <c r="S1847" s="1"/>
    </row>
    <row r="1848" spans="9:19" x14ac:dyDescent="0.3">
      <c r="I1848" s="1"/>
      <c r="S1848" s="1"/>
    </row>
    <row r="1849" spans="9:19" x14ac:dyDescent="0.3">
      <c r="I1849" s="1"/>
      <c r="S1849" s="1"/>
    </row>
    <row r="1850" spans="9:19" x14ac:dyDescent="0.3">
      <c r="I1850" s="1"/>
      <c r="S1850" s="1"/>
    </row>
    <row r="1851" spans="9:19" x14ac:dyDescent="0.3">
      <c r="I1851" s="1"/>
      <c r="S1851" s="1"/>
    </row>
    <row r="1852" spans="9:19" x14ac:dyDescent="0.3">
      <c r="I1852" s="1"/>
      <c r="S1852" s="1"/>
    </row>
    <row r="1853" spans="9:19" x14ac:dyDescent="0.3">
      <c r="I1853" s="1"/>
      <c r="S1853" s="1"/>
    </row>
    <row r="1854" spans="9:19" x14ac:dyDescent="0.3">
      <c r="I1854" s="1"/>
      <c r="S1854" s="1"/>
    </row>
    <row r="1855" spans="9:19" x14ac:dyDescent="0.3">
      <c r="I1855" s="1"/>
      <c r="S1855" s="1"/>
    </row>
    <row r="1856" spans="9:19" x14ac:dyDescent="0.3">
      <c r="I1856" s="1"/>
      <c r="S1856" s="1"/>
    </row>
    <row r="1857" spans="9:19" x14ac:dyDescent="0.3">
      <c r="I1857" s="1"/>
      <c r="S1857" s="1"/>
    </row>
    <row r="1858" spans="9:19" x14ac:dyDescent="0.3">
      <c r="I1858" s="1"/>
      <c r="S1858" s="1"/>
    </row>
    <row r="1859" spans="9:19" x14ac:dyDescent="0.3">
      <c r="I1859" s="1"/>
      <c r="S1859" s="1"/>
    </row>
    <row r="1860" spans="9:19" x14ac:dyDescent="0.3">
      <c r="I1860" s="1"/>
      <c r="S1860" s="1"/>
    </row>
    <row r="1861" spans="9:19" x14ac:dyDescent="0.3">
      <c r="I1861" s="1"/>
      <c r="S1861" s="1"/>
    </row>
    <row r="1862" spans="9:19" x14ac:dyDescent="0.3">
      <c r="I1862" s="1"/>
      <c r="S1862" s="1"/>
    </row>
    <row r="1863" spans="9:19" x14ac:dyDescent="0.3">
      <c r="I1863" s="1"/>
      <c r="S1863" s="1"/>
    </row>
    <row r="1864" spans="9:19" x14ac:dyDescent="0.3">
      <c r="I1864" s="1"/>
      <c r="S1864" s="1"/>
    </row>
    <row r="1865" spans="9:19" x14ac:dyDescent="0.3">
      <c r="I1865" s="1"/>
      <c r="S1865" s="1"/>
    </row>
    <row r="1866" spans="9:19" x14ac:dyDescent="0.3">
      <c r="I1866" s="1"/>
      <c r="S1866" s="1"/>
    </row>
    <row r="1867" spans="9:19" x14ac:dyDescent="0.3">
      <c r="I1867" s="1"/>
      <c r="S1867" s="1"/>
    </row>
    <row r="1868" spans="9:19" x14ac:dyDescent="0.3">
      <c r="I1868" s="1"/>
      <c r="S1868" s="1"/>
    </row>
    <row r="1869" spans="9:19" x14ac:dyDescent="0.3">
      <c r="I1869" s="1"/>
      <c r="S1869" s="1"/>
    </row>
    <row r="1870" spans="9:19" x14ac:dyDescent="0.3">
      <c r="I1870" s="1"/>
      <c r="S1870" s="1"/>
    </row>
    <row r="1871" spans="9:19" x14ac:dyDescent="0.3">
      <c r="I1871" s="1"/>
      <c r="S1871" s="1"/>
    </row>
    <row r="1872" spans="9:19" x14ac:dyDescent="0.3">
      <c r="I1872" s="1"/>
      <c r="S1872" s="1"/>
    </row>
    <row r="1873" spans="9:19" x14ac:dyDescent="0.3">
      <c r="I1873" s="1"/>
      <c r="S1873" s="1"/>
    </row>
    <row r="1874" spans="9:19" x14ac:dyDescent="0.3">
      <c r="I1874" s="1"/>
      <c r="S1874" s="1"/>
    </row>
    <row r="1875" spans="9:19" x14ac:dyDescent="0.3">
      <c r="I1875" s="1"/>
      <c r="S1875" s="1"/>
    </row>
    <row r="1876" spans="9:19" x14ac:dyDescent="0.3">
      <c r="I1876" s="1"/>
      <c r="S1876" s="1"/>
    </row>
    <row r="1877" spans="9:19" x14ac:dyDescent="0.3">
      <c r="I1877" s="1"/>
      <c r="S1877" s="1"/>
    </row>
    <row r="1878" spans="9:19" x14ac:dyDescent="0.3">
      <c r="I1878" s="1"/>
      <c r="S1878" s="1"/>
    </row>
    <row r="1879" spans="9:19" x14ac:dyDescent="0.3">
      <c r="I1879" s="1"/>
      <c r="S1879" s="1"/>
    </row>
    <row r="1880" spans="9:19" x14ac:dyDescent="0.3">
      <c r="I1880" s="1"/>
      <c r="S1880" s="1"/>
    </row>
    <row r="1881" spans="9:19" x14ac:dyDescent="0.3">
      <c r="I1881" s="1"/>
      <c r="S1881" s="1"/>
    </row>
    <row r="1882" spans="9:19" x14ac:dyDescent="0.3">
      <c r="I1882" s="1"/>
      <c r="S1882" s="1"/>
    </row>
    <row r="1883" spans="9:19" x14ac:dyDescent="0.3">
      <c r="I1883" s="1"/>
      <c r="S1883" s="1"/>
    </row>
    <row r="1884" spans="9:19" x14ac:dyDescent="0.3">
      <c r="I1884" s="1"/>
      <c r="S1884" s="1"/>
    </row>
    <row r="1885" spans="9:19" x14ac:dyDescent="0.3">
      <c r="I1885" s="1"/>
      <c r="S1885" s="1"/>
    </row>
    <row r="1886" spans="9:19" x14ac:dyDescent="0.3">
      <c r="I1886" s="1"/>
      <c r="S1886" s="1"/>
    </row>
    <row r="1887" spans="9:19" x14ac:dyDescent="0.3">
      <c r="I1887" s="1"/>
      <c r="S1887" s="1"/>
    </row>
    <row r="1888" spans="9:19" x14ac:dyDescent="0.3">
      <c r="I1888" s="1"/>
      <c r="S1888" s="1"/>
    </row>
    <row r="1889" spans="9:19" x14ac:dyDescent="0.3">
      <c r="I1889" s="1"/>
      <c r="S1889" s="1"/>
    </row>
    <row r="1890" spans="9:19" x14ac:dyDescent="0.3">
      <c r="I1890" s="1"/>
      <c r="S1890" s="1"/>
    </row>
    <row r="1891" spans="9:19" x14ac:dyDescent="0.3">
      <c r="I1891" s="1"/>
      <c r="S1891" s="1"/>
    </row>
    <row r="1892" spans="9:19" x14ac:dyDescent="0.3">
      <c r="I1892" s="1"/>
      <c r="S1892" s="1"/>
    </row>
    <row r="1893" spans="9:19" x14ac:dyDescent="0.3">
      <c r="I1893" s="1"/>
      <c r="S1893" s="1"/>
    </row>
    <row r="1894" spans="9:19" x14ac:dyDescent="0.3">
      <c r="I1894" s="1"/>
      <c r="S1894" s="1"/>
    </row>
    <row r="1895" spans="9:19" x14ac:dyDescent="0.3">
      <c r="I1895" s="1"/>
      <c r="S1895" s="1"/>
    </row>
    <row r="1896" spans="9:19" x14ac:dyDescent="0.3">
      <c r="I1896" s="1"/>
      <c r="S1896" s="1"/>
    </row>
    <row r="1897" spans="9:19" x14ac:dyDescent="0.3">
      <c r="I1897" s="1"/>
      <c r="S1897" s="1"/>
    </row>
    <row r="1898" spans="9:19" x14ac:dyDescent="0.3">
      <c r="I1898" s="1"/>
      <c r="S1898" s="1"/>
    </row>
    <row r="1899" spans="9:19" x14ac:dyDescent="0.3">
      <c r="I1899" s="1"/>
      <c r="S1899" s="1"/>
    </row>
    <row r="1900" spans="9:19" x14ac:dyDescent="0.3">
      <c r="I1900" s="1"/>
      <c r="S1900" s="1"/>
    </row>
    <row r="1901" spans="9:19" x14ac:dyDescent="0.3">
      <c r="I1901" s="1"/>
      <c r="S1901" s="1"/>
    </row>
    <row r="1902" spans="9:19" x14ac:dyDescent="0.3">
      <c r="I1902" s="1"/>
      <c r="S1902" s="1"/>
    </row>
    <row r="1903" spans="9:19" x14ac:dyDescent="0.3">
      <c r="I1903" s="1"/>
      <c r="S1903" s="1"/>
    </row>
    <row r="1904" spans="9:19" x14ac:dyDescent="0.3">
      <c r="I1904" s="1"/>
      <c r="S1904" s="1"/>
    </row>
    <row r="1905" spans="9:19" x14ac:dyDescent="0.3">
      <c r="I1905" s="1"/>
      <c r="S1905" s="1"/>
    </row>
    <row r="1906" spans="9:19" x14ac:dyDescent="0.3">
      <c r="I1906" s="1"/>
      <c r="S1906" s="1"/>
    </row>
    <row r="1907" spans="9:19" x14ac:dyDescent="0.3">
      <c r="I1907" s="1"/>
      <c r="S1907" s="1"/>
    </row>
    <row r="1908" spans="9:19" x14ac:dyDescent="0.3">
      <c r="I1908" s="1"/>
      <c r="S1908" s="1"/>
    </row>
    <row r="1909" spans="9:19" x14ac:dyDescent="0.3">
      <c r="I1909" s="1"/>
      <c r="S1909" s="1"/>
    </row>
    <row r="1910" spans="9:19" x14ac:dyDescent="0.3">
      <c r="I1910" s="1"/>
      <c r="S1910" s="1"/>
    </row>
    <row r="1911" spans="9:19" x14ac:dyDescent="0.3">
      <c r="I1911" s="1"/>
      <c r="S1911" s="1"/>
    </row>
    <row r="1912" spans="9:19" x14ac:dyDescent="0.3">
      <c r="I1912" s="1"/>
      <c r="S1912" s="1"/>
    </row>
    <row r="1913" spans="9:19" x14ac:dyDescent="0.3">
      <c r="I1913" s="1"/>
      <c r="S1913" s="1"/>
    </row>
    <row r="1914" spans="9:19" x14ac:dyDescent="0.3">
      <c r="I1914" s="1"/>
      <c r="S1914" s="1"/>
    </row>
    <row r="1915" spans="9:19" x14ac:dyDescent="0.3">
      <c r="I1915" s="1"/>
      <c r="S1915" s="1"/>
    </row>
    <row r="1916" spans="9:19" x14ac:dyDescent="0.3">
      <c r="I1916" s="1"/>
      <c r="S1916" s="1"/>
    </row>
    <row r="1917" spans="9:19" x14ac:dyDescent="0.3">
      <c r="I1917" s="1"/>
      <c r="S1917" s="1"/>
    </row>
    <row r="1918" spans="9:19" x14ac:dyDescent="0.3">
      <c r="I1918" s="1"/>
      <c r="S1918" s="1"/>
    </row>
    <row r="1919" spans="9:19" x14ac:dyDescent="0.3">
      <c r="I1919" s="1"/>
      <c r="S1919" s="1"/>
    </row>
    <row r="1920" spans="9:19" x14ac:dyDescent="0.3">
      <c r="I1920" s="1"/>
      <c r="S1920" s="1"/>
    </row>
    <row r="1921" spans="9:19" x14ac:dyDescent="0.3">
      <c r="I1921" s="1"/>
      <c r="S1921" s="1"/>
    </row>
    <row r="1922" spans="9:19" x14ac:dyDescent="0.3">
      <c r="I1922" s="1"/>
      <c r="S1922" s="1"/>
    </row>
    <row r="1923" spans="9:19" x14ac:dyDescent="0.3">
      <c r="I1923" s="1"/>
      <c r="S1923" s="1"/>
    </row>
    <row r="1924" spans="9:19" x14ac:dyDescent="0.3">
      <c r="I1924" s="1"/>
      <c r="S1924" s="1"/>
    </row>
    <row r="1925" spans="9:19" x14ac:dyDescent="0.3">
      <c r="I1925" s="1"/>
      <c r="S1925" s="1"/>
    </row>
    <row r="1926" spans="9:19" x14ac:dyDescent="0.3">
      <c r="I1926" s="1"/>
      <c r="S1926" s="1"/>
    </row>
    <row r="1927" spans="9:19" x14ac:dyDescent="0.3">
      <c r="I1927" s="1"/>
      <c r="S1927" s="1"/>
    </row>
    <row r="1928" spans="9:19" x14ac:dyDescent="0.3">
      <c r="I1928" s="1"/>
      <c r="S1928" s="1"/>
    </row>
    <row r="1929" spans="9:19" x14ac:dyDescent="0.3">
      <c r="I1929" s="1"/>
      <c r="S1929" s="1"/>
    </row>
    <row r="1930" spans="9:19" x14ac:dyDescent="0.3">
      <c r="I1930" s="1"/>
      <c r="S1930" s="1"/>
    </row>
    <row r="1931" spans="9:19" x14ac:dyDescent="0.3">
      <c r="I1931" s="1"/>
      <c r="S1931" s="1"/>
    </row>
    <row r="1932" spans="9:19" x14ac:dyDescent="0.3">
      <c r="I1932" s="1"/>
      <c r="S1932" s="1"/>
    </row>
    <row r="1933" spans="9:19" x14ac:dyDescent="0.3">
      <c r="I1933" s="1"/>
      <c r="S1933" s="1"/>
    </row>
    <row r="1934" spans="9:19" x14ac:dyDescent="0.3">
      <c r="I1934" s="1"/>
      <c r="S1934" s="1"/>
    </row>
    <row r="1935" spans="9:19" x14ac:dyDescent="0.3">
      <c r="I1935" s="1"/>
      <c r="S1935" s="1"/>
    </row>
    <row r="1936" spans="9:19" x14ac:dyDescent="0.3">
      <c r="I1936" s="1"/>
      <c r="S1936" s="1"/>
    </row>
    <row r="1937" spans="9:19" x14ac:dyDescent="0.3">
      <c r="I1937" s="1"/>
      <c r="S1937" s="1"/>
    </row>
    <row r="1938" spans="9:19" x14ac:dyDescent="0.3">
      <c r="I1938" s="1"/>
      <c r="S1938" s="1"/>
    </row>
    <row r="1939" spans="9:19" x14ac:dyDescent="0.3">
      <c r="I1939" s="1"/>
      <c r="S1939" s="1"/>
    </row>
    <row r="1940" spans="9:19" x14ac:dyDescent="0.3">
      <c r="I1940" s="1"/>
      <c r="S1940" s="1"/>
    </row>
    <row r="1941" spans="9:19" x14ac:dyDescent="0.3">
      <c r="I1941" s="1"/>
      <c r="S1941" s="1"/>
    </row>
    <row r="1942" spans="9:19" x14ac:dyDescent="0.3">
      <c r="I1942" s="1"/>
      <c r="S1942" s="1"/>
    </row>
    <row r="1943" spans="9:19" x14ac:dyDescent="0.3">
      <c r="I1943" s="1"/>
      <c r="S1943" s="1"/>
    </row>
    <row r="1944" spans="9:19" x14ac:dyDescent="0.3">
      <c r="I1944" s="1"/>
      <c r="S1944" s="1"/>
    </row>
    <row r="1945" spans="9:19" x14ac:dyDescent="0.3">
      <c r="I1945" s="1"/>
      <c r="S1945" s="1"/>
    </row>
    <row r="1946" spans="9:19" x14ac:dyDescent="0.3">
      <c r="I1946" s="1"/>
      <c r="S1946" s="1"/>
    </row>
    <row r="1947" spans="9:19" x14ac:dyDescent="0.3">
      <c r="I1947" s="1"/>
      <c r="S1947" s="1"/>
    </row>
    <row r="1948" spans="9:19" x14ac:dyDescent="0.3">
      <c r="I1948" s="1"/>
      <c r="S1948" s="1"/>
    </row>
    <row r="1949" spans="9:19" x14ac:dyDescent="0.3">
      <c r="I1949" s="1"/>
      <c r="S1949" s="1"/>
    </row>
    <row r="1950" spans="9:19" x14ac:dyDescent="0.3">
      <c r="I1950" s="1"/>
      <c r="S1950" s="1"/>
    </row>
    <row r="1951" spans="9:19" x14ac:dyDescent="0.3">
      <c r="I1951" s="1"/>
      <c r="S1951" s="1"/>
    </row>
    <row r="1952" spans="9:19" x14ac:dyDescent="0.3">
      <c r="I1952" s="1"/>
      <c r="S1952" s="1"/>
    </row>
    <row r="1953" spans="9:19" x14ac:dyDescent="0.3">
      <c r="I1953" s="1"/>
      <c r="S1953" s="1"/>
    </row>
    <row r="1954" spans="9:19" x14ac:dyDescent="0.3">
      <c r="I1954" s="1"/>
      <c r="S1954" s="1"/>
    </row>
    <row r="1955" spans="9:19" x14ac:dyDescent="0.3">
      <c r="I1955" s="1"/>
      <c r="S1955" s="1"/>
    </row>
    <row r="1956" spans="9:19" x14ac:dyDescent="0.3">
      <c r="I1956" s="1"/>
      <c r="S1956" s="1"/>
    </row>
    <row r="1957" spans="9:19" x14ac:dyDescent="0.3">
      <c r="I1957" s="1"/>
      <c r="S1957" s="1"/>
    </row>
    <row r="1958" spans="9:19" x14ac:dyDescent="0.3">
      <c r="I1958" s="1"/>
      <c r="S1958" s="1"/>
    </row>
    <row r="1959" spans="9:19" x14ac:dyDescent="0.3">
      <c r="I1959" s="1"/>
      <c r="S1959" s="1"/>
    </row>
    <row r="1960" spans="9:19" x14ac:dyDescent="0.3">
      <c r="I1960" s="1"/>
      <c r="S1960" s="1"/>
    </row>
    <row r="1961" spans="9:19" x14ac:dyDescent="0.3">
      <c r="I1961" s="1"/>
      <c r="S1961" s="1"/>
    </row>
    <row r="1962" spans="9:19" x14ac:dyDescent="0.3">
      <c r="I1962" s="1"/>
      <c r="S1962" s="1"/>
    </row>
    <row r="1963" spans="9:19" x14ac:dyDescent="0.3">
      <c r="I1963" s="1"/>
      <c r="S1963" s="1"/>
    </row>
    <row r="1964" spans="9:19" x14ac:dyDescent="0.3">
      <c r="I1964" s="1"/>
      <c r="S1964" s="1"/>
    </row>
    <row r="1965" spans="9:19" x14ac:dyDescent="0.3">
      <c r="I1965" s="1"/>
      <c r="S1965" s="1"/>
    </row>
    <row r="1966" spans="9:19" x14ac:dyDescent="0.3">
      <c r="I1966" s="1"/>
      <c r="S1966" s="1"/>
    </row>
    <row r="1967" spans="9:19" x14ac:dyDescent="0.3">
      <c r="I1967" s="1"/>
      <c r="S1967" s="1"/>
    </row>
    <row r="1968" spans="9:19" x14ac:dyDescent="0.3">
      <c r="I1968" s="1"/>
      <c r="S1968" s="1"/>
    </row>
    <row r="1969" spans="9:19" x14ac:dyDescent="0.3">
      <c r="I1969" s="1"/>
      <c r="S1969" s="1"/>
    </row>
    <row r="1970" spans="9:19" x14ac:dyDescent="0.3">
      <c r="I1970" s="1"/>
      <c r="S1970" s="1"/>
    </row>
    <row r="1971" spans="9:19" x14ac:dyDescent="0.3">
      <c r="I1971" s="1"/>
      <c r="S1971" s="1"/>
    </row>
    <row r="1972" spans="9:19" x14ac:dyDescent="0.3">
      <c r="I1972" s="1"/>
      <c r="S1972" s="1"/>
    </row>
    <row r="1973" spans="9:19" x14ac:dyDescent="0.3">
      <c r="I1973" s="1"/>
      <c r="S1973" s="1"/>
    </row>
    <row r="1974" spans="9:19" x14ac:dyDescent="0.3">
      <c r="I1974" s="1"/>
      <c r="S1974" s="1"/>
    </row>
    <row r="1975" spans="9:19" x14ac:dyDescent="0.3">
      <c r="I1975" s="1"/>
      <c r="S1975" s="1"/>
    </row>
    <row r="1976" spans="9:19" x14ac:dyDescent="0.3">
      <c r="I1976" s="1"/>
      <c r="S1976" s="1"/>
    </row>
    <row r="1977" spans="9:19" x14ac:dyDescent="0.3">
      <c r="I1977" s="1"/>
      <c r="S1977" s="1"/>
    </row>
    <row r="1978" spans="9:19" x14ac:dyDescent="0.3">
      <c r="I1978" s="1"/>
      <c r="S1978" s="1"/>
    </row>
    <row r="1979" spans="9:19" x14ac:dyDescent="0.3">
      <c r="I1979" s="1"/>
      <c r="S1979" s="1"/>
    </row>
    <row r="1980" spans="9:19" x14ac:dyDescent="0.3">
      <c r="I1980" s="1"/>
      <c r="S1980" s="1"/>
    </row>
    <row r="1981" spans="9:19" x14ac:dyDescent="0.3">
      <c r="I1981" s="1"/>
      <c r="S1981" s="1"/>
    </row>
    <row r="1982" spans="9:19" x14ac:dyDescent="0.3">
      <c r="I1982" s="1"/>
      <c r="S1982" s="1"/>
    </row>
    <row r="1983" spans="9:19" x14ac:dyDescent="0.3">
      <c r="I1983" s="1"/>
      <c r="S1983" s="1"/>
    </row>
    <row r="1984" spans="9:19" x14ac:dyDescent="0.3">
      <c r="I1984" s="1"/>
      <c r="S1984" s="1"/>
    </row>
    <row r="1985" spans="9:19" x14ac:dyDescent="0.3">
      <c r="I1985" s="1"/>
      <c r="S1985" s="1"/>
    </row>
    <row r="1986" spans="9:19" x14ac:dyDescent="0.3">
      <c r="I1986" s="1"/>
      <c r="S1986" s="1"/>
    </row>
    <row r="1987" spans="9:19" x14ac:dyDescent="0.3">
      <c r="I1987" s="1"/>
      <c r="S1987" s="1"/>
    </row>
    <row r="1988" spans="9:19" x14ac:dyDescent="0.3">
      <c r="I1988" s="1"/>
      <c r="S1988" s="1"/>
    </row>
    <row r="1989" spans="9:19" x14ac:dyDescent="0.3">
      <c r="I1989" s="1"/>
      <c r="S1989" s="1"/>
    </row>
    <row r="1990" spans="9:19" x14ac:dyDescent="0.3">
      <c r="I1990" s="1"/>
      <c r="S1990" s="1"/>
    </row>
    <row r="1991" spans="9:19" x14ac:dyDescent="0.3">
      <c r="I1991" s="1"/>
      <c r="S1991" s="1"/>
    </row>
    <row r="1992" spans="9:19" x14ac:dyDescent="0.3">
      <c r="I1992" s="1"/>
      <c r="S1992" s="1"/>
    </row>
    <row r="1993" spans="9:19" x14ac:dyDescent="0.3">
      <c r="I1993" s="1"/>
      <c r="S1993" s="1"/>
    </row>
    <row r="1994" spans="9:19" x14ac:dyDescent="0.3">
      <c r="I1994" s="1"/>
      <c r="S1994" s="1"/>
    </row>
    <row r="1995" spans="9:19" x14ac:dyDescent="0.3">
      <c r="I1995" s="1"/>
      <c r="S1995" s="1"/>
    </row>
    <row r="1996" spans="9:19" x14ac:dyDescent="0.3">
      <c r="I1996" s="1"/>
      <c r="S1996" s="1"/>
    </row>
    <row r="1997" spans="9:19" x14ac:dyDescent="0.3">
      <c r="I1997" s="1"/>
      <c r="S1997" s="1"/>
    </row>
    <row r="1998" spans="9:19" x14ac:dyDescent="0.3">
      <c r="I1998" s="1"/>
      <c r="S1998" s="1"/>
    </row>
    <row r="1999" spans="9:19" x14ac:dyDescent="0.3">
      <c r="I1999" s="1"/>
      <c r="S1999" s="1"/>
    </row>
    <row r="2000" spans="9:19" x14ac:dyDescent="0.3">
      <c r="I2000" s="1"/>
      <c r="S2000" s="1"/>
    </row>
    <row r="2001" spans="9:19" x14ac:dyDescent="0.3">
      <c r="I2001" s="1"/>
      <c r="S2001" s="1"/>
    </row>
    <row r="2002" spans="9:19" x14ac:dyDescent="0.3">
      <c r="I2002" s="1"/>
      <c r="S2002" s="1"/>
    </row>
    <row r="2003" spans="9:19" x14ac:dyDescent="0.3">
      <c r="I2003" s="1"/>
      <c r="S2003" s="1"/>
    </row>
    <row r="2004" spans="9:19" x14ac:dyDescent="0.3">
      <c r="I2004" s="1"/>
      <c r="S2004" s="1"/>
    </row>
    <row r="2005" spans="9:19" x14ac:dyDescent="0.3">
      <c r="I2005" s="1"/>
      <c r="S2005" s="1"/>
    </row>
    <row r="2006" spans="9:19" x14ac:dyDescent="0.3">
      <c r="I2006" s="1"/>
      <c r="S2006" s="1"/>
    </row>
    <row r="2007" spans="9:19" x14ac:dyDescent="0.3">
      <c r="I2007" s="1"/>
      <c r="S2007" s="1"/>
    </row>
    <row r="2008" spans="9:19" x14ac:dyDescent="0.3">
      <c r="I2008" s="1"/>
      <c r="S2008" s="1"/>
    </row>
    <row r="2009" spans="9:19" x14ac:dyDescent="0.3">
      <c r="I2009" s="1"/>
      <c r="S2009" s="1"/>
    </row>
    <row r="2010" spans="9:19" x14ac:dyDescent="0.3">
      <c r="I2010" s="1"/>
      <c r="S2010" s="1"/>
    </row>
    <row r="2011" spans="9:19" x14ac:dyDescent="0.3">
      <c r="I2011" s="1"/>
      <c r="S2011" s="1"/>
    </row>
    <row r="2012" spans="9:19" x14ac:dyDescent="0.3">
      <c r="I2012" s="1"/>
      <c r="S2012" s="1"/>
    </row>
    <row r="2013" spans="9:19" x14ac:dyDescent="0.3">
      <c r="I2013" s="1"/>
      <c r="S2013" s="1"/>
    </row>
    <row r="2014" spans="9:19" x14ac:dyDescent="0.3">
      <c r="I2014" s="1"/>
      <c r="S2014" s="1"/>
    </row>
    <row r="2015" spans="9:19" x14ac:dyDescent="0.3">
      <c r="I2015" s="1"/>
      <c r="S2015" s="1"/>
    </row>
    <row r="2016" spans="9:19" x14ac:dyDescent="0.3">
      <c r="I2016" s="1"/>
      <c r="S2016" s="1"/>
    </row>
    <row r="2017" spans="9:19" x14ac:dyDescent="0.3">
      <c r="I2017" s="1"/>
      <c r="S2017" s="1"/>
    </row>
    <row r="2018" spans="9:19" x14ac:dyDescent="0.3">
      <c r="I2018" s="1"/>
      <c r="S2018" s="1"/>
    </row>
    <row r="2019" spans="9:19" x14ac:dyDescent="0.3">
      <c r="I2019" s="1"/>
      <c r="S2019" s="1"/>
    </row>
    <row r="2020" spans="9:19" x14ac:dyDescent="0.3">
      <c r="I2020" s="1"/>
      <c r="S2020" s="1"/>
    </row>
    <row r="2021" spans="9:19" x14ac:dyDescent="0.3">
      <c r="I2021" s="1"/>
      <c r="S2021" s="1"/>
    </row>
    <row r="2022" spans="9:19" x14ac:dyDescent="0.3">
      <c r="I2022" s="1"/>
      <c r="S2022" s="1"/>
    </row>
    <row r="2023" spans="9:19" x14ac:dyDescent="0.3">
      <c r="I2023" s="1"/>
      <c r="S2023" s="1"/>
    </row>
    <row r="2024" spans="9:19" x14ac:dyDescent="0.3">
      <c r="I2024" s="1"/>
      <c r="S2024" s="1"/>
    </row>
    <row r="2025" spans="9:19" x14ac:dyDescent="0.3">
      <c r="I2025" s="1"/>
      <c r="S2025" s="1"/>
    </row>
    <row r="2026" spans="9:19" x14ac:dyDescent="0.3">
      <c r="I2026" s="1"/>
      <c r="S2026" s="1"/>
    </row>
    <row r="2027" spans="9:19" x14ac:dyDescent="0.3">
      <c r="I2027" s="1"/>
      <c r="S2027" s="1"/>
    </row>
    <row r="2028" spans="9:19" x14ac:dyDescent="0.3">
      <c r="I2028" s="1"/>
      <c r="S2028" s="1"/>
    </row>
    <row r="2029" spans="9:19" x14ac:dyDescent="0.3">
      <c r="I2029" s="1"/>
      <c r="S2029" s="1"/>
    </row>
    <row r="2030" spans="9:19" x14ac:dyDescent="0.3">
      <c r="I2030" s="1"/>
      <c r="S2030" s="1"/>
    </row>
    <row r="2031" spans="9:19" x14ac:dyDescent="0.3">
      <c r="I2031" s="1"/>
      <c r="S2031" s="1"/>
    </row>
    <row r="2032" spans="9:19" x14ac:dyDescent="0.3">
      <c r="I2032" s="1"/>
      <c r="S2032" s="1"/>
    </row>
    <row r="2033" spans="9:19" x14ac:dyDescent="0.3">
      <c r="I2033" s="1"/>
      <c r="S2033" s="1"/>
    </row>
    <row r="2034" spans="9:19" x14ac:dyDescent="0.3">
      <c r="I2034" s="1"/>
      <c r="S2034" s="1"/>
    </row>
    <row r="2035" spans="9:19" x14ac:dyDescent="0.3">
      <c r="I2035" s="1"/>
      <c r="S2035" s="1"/>
    </row>
    <row r="2036" spans="9:19" x14ac:dyDescent="0.3">
      <c r="I2036" s="1"/>
      <c r="S2036" s="1"/>
    </row>
    <row r="2037" spans="9:19" x14ac:dyDescent="0.3">
      <c r="I2037" s="1"/>
      <c r="S2037" s="1"/>
    </row>
    <row r="2038" spans="9:19" x14ac:dyDescent="0.3">
      <c r="I2038" s="1"/>
      <c r="S2038" s="1"/>
    </row>
    <row r="2039" spans="9:19" x14ac:dyDescent="0.3">
      <c r="I2039" s="1"/>
      <c r="S2039" s="1"/>
    </row>
    <row r="2040" spans="9:19" x14ac:dyDescent="0.3">
      <c r="I2040" s="1"/>
      <c r="S2040" s="1"/>
    </row>
    <row r="2041" spans="9:19" x14ac:dyDescent="0.3">
      <c r="I2041" s="1"/>
      <c r="S2041" s="1"/>
    </row>
    <row r="2042" spans="9:19" x14ac:dyDescent="0.3">
      <c r="I2042" s="1"/>
      <c r="S2042" s="1"/>
    </row>
    <row r="2043" spans="9:19" x14ac:dyDescent="0.3">
      <c r="I2043" s="1"/>
      <c r="S2043" s="1"/>
    </row>
    <row r="2044" spans="9:19" x14ac:dyDescent="0.3">
      <c r="I2044" s="1"/>
      <c r="S2044" s="1"/>
    </row>
    <row r="2045" spans="9:19" x14ac:dyDescent="0.3">
      <c r="I2045" s="1"/>
      <c r="S2045" s="1"/>
    </row>
    <row r="2046" spans="9:19" x14ac:dyDescent="0.3">
      <c r="I2046" s="1"/>
      <c r="S2046" s="1"/>
    </row>
    <row r="2047" spans="9:19" x14ac:dyDescent="0.3">
      <c r="I2047" s="1"/>
      <c r="S2047" s="1"/>
    </row>
    <row r="2048" spans="9:19" x14ac:dyDescent="0.3">
      <c r="I2048" s="1"/>
      <c r="S2048" s="1"/>
    </row>
    <row r="2049" spans="9:19" x14ac:dyDescent="0.3">
      <c r="I2049" s="1"/>
      <c r="S2049" s="1"/>
    </row>
    <row r="2050" spans="9:19" x14ac:dyDescent="0.3">
      <c r="I2050" s="1"/>
      <c r="S2050" s="1"/>
    </row>
    <row r="2051" spans="9:19" x14ac:dyDescent="0.3">
      <c r="I2051" s="1"/>
      <c r="S2051" s="1"/>
    </row>
    <row r="2052" spans="9:19" x14ac:dyDescent="0.3">
      <c r="I2052" s="1"/>
      <c r="S2052" s="1"/>
    </row>
    <row r="2053" spans="9:19" x14ac:dyDescent="0.3">
      <c r="I2053" s="1"/>
      <c r="S2053" s="1"/>
    </row>
    <row r="2054" spans="9:19" x14ac:dyDescent="0.3">
      <c r="I2054" s="1"/>
      <c r="S2054" s="1"/>
    </row>
    <row r="2055" spans="9:19" x14ac:dyDescent="0.3">
      <c r="I2055" s="1"/>
      <c r="S2055" s="1"/>
    </row>
    <row r="2056" spans="9:19" x14ac:dyDescent="0.3">
      <c r="I2056" s="1"/>
      <c r="S2056" s="1"/>
    </row>
    <row r="2057" spans="9:19" x14ac:dyDescent="0.3">
      <c r="I2057" s="1"/>
      <c r="S2057" s="1"/>
    </row>
    <row r="2058" spans="9:19" x14ac:dyDescent="0.3">
      <c r="I2058" s="1"/>
      <c r="S2058" s="1"/>
    </row>
    <row r="2059" spans="9:19" x14ac:dyDescent="0.3">
      <c r="I2059" s="1"/>
      <c r="S2059" s="1"/>
    </row>
    <row r="2060" spans="9:19" x14ac:dyDescent="0.3">
      <c r="I2060" s="1"/>
      <c r="S2060" s="1"/>
    </row>
    <row r="2061" spans="9:19" x14ac:dyDescent="0.3">
      <c r="I2061" s="1"/>
      <c r="S2061" s="1"/>
    </row>
    <row r="2062" spans="9:19" x14ac:dyDescent="0.3">
      <c r="I2062" s="1"/>
      <c r="S2062" s="1"/>
    </row>
    <row r="2063" spans="9:19" x14ac:dyDescent="0.3">
      <c r="I2063" s="1"/>
      <c r="S2063" s="1"/>
    </row>
    <row r="2064" spans="9:19" x14ac:dyDescent="0.3">
      <c r="I2064" s="1"/>
      <c r="S2064" s="1"/>
    </row>
    <row r="2065" spans="9:19" x14ac:dyDescent="0.3">
      <c r="I2065" s="1"/>
      <c r="S2065" s="1"/>
    </row>
    <row r="2066" spans="9:19" x14ac:dyDescent="0.3">
      <c r="I2066" s="1"/>
      <c r="S2066" s="1"/>
    </row>
    <row r="2067" spans="9:19" x14ac:dyDescent="0.3">
      <c r="I2067" s="1"/>
      <c r="S2067" s="1"/>
    </row>
    <row r="2068" spans="9:19" x14ac:dyDescent="0.3">
      <c r="I2068" s="1"/>
      <c r="S2068" s="1"/>
    </row>
    <row r="2069" spans="9:19" x14ac:dyDescent="0.3">
      <c r="I2069" s="1"/>
      <c r="S2069" s="1"/>
    </row>
    <row r="2070" spans="9:19" x14ac:dyDescent="0.3">
      <c r="I2070" s="1"/>
      <c r="S2070" s="1"/>
    </row>
    <row r="2071" spans="9:19" x14ac:dyDescent="0.3">
      <c r="I2071" s="1"/>
      <c r="S2071" s="1"/>
    </row>
    <row r="2072" spans="9:19" x14ac:dyDescent="0.3">
      <c r="I2072" s="1"/>
      <c r="S2072" s="1"/>
    </row>
    <row r="2073" spans="9:19" x14ac:dyDescent="0.3">
      <c r="I2073" s="1"/>
      <c r="S2073" s="1"/>
    </row>
    <row r="2074" spans="9:19" x14ac:dyDescent="0.3">
      <c r="I2074" s="1"/>
      <c r="S2074" s="1"/>
    </row>
    <row r="2075" spans="9:19" x14ac:dyDescent="0.3">
      <c r="I2075" s="1"/>
      <c r="S2075" s="1"/>
    </row>
    <row r="2076" spans="9:19" x14ac:dyDescent="0.3">
      <c r="I2076" s="1"/>
      <c r="S2076" s="1"/>
    </row>
    <row r="2077" spans="9:19" x14ac:dyDescent="0.3">
      <c r="I2077" s="1"/>
      <c r="S2077" s="1"/>
    </row>
    <row r="2078" spans="9:19" x14ac:dyDescent="0.3">
      <c r="I2078" s="1"/>
      <c r="S2078" s="1"/>
    </row>
    <row r="2079" spans="9:19" x14ac:dyDescent="0.3">
      <c r="I2079" s="1"/>
      <c r="S2079" s="1"/>
    </row>
    <row r="2080" spans="9:19" x14ac:dyDescent="0.3">
      <c r="I2080" s="1"/>
      <c r="S2080" s="1"/>
    </row>
    <row r="2081" spans="9:19" x14ac:dyDescent="0.3">
      <c r="I2081" s="1"/>
      <c r="S2081" s="1"/>
    </row>
    <row r="2082" spans="9:19" x14ac:dyDescent="0.3">
      <c r="I2082" s="1"/>
      <c r="S2082" s="1"/>
    </row>
    <row r="2083" spans="9:19" x14ac:dyDescent="0.3">
      <c r="I2083" s="1"/>
      <c r="S2083" s="1"/>
    </row>
    <row r="2084" spans="9:19" x14ac:dyDescent="0.3">
      <c r="I2084" s="1"/>
      <c r="S2084" s="1"/>
    </row>
    <row r="2085" spans="9:19" x14ac:dyDescent="0.3">
      <c r="I2085" s="1"/>
      <c r="S2085" s="1"/>
    </row>
    <row r="2086" spans="9:19" x14ac:dyDescent="0.3">
      <c r="I2086" s="1"/>
      <c r="S2086" s="1"/>
    </row>
    <row r="2087" spans="9:19" x14ac:dyDescent="0.3">
      <c r="I2087" s="1"/>
      <c r="S2087" s="1"/>
    </row>
    <row r="2088" spans="9:19" x14ac:dyDescent="0.3">
      <c r="I2088" s="1"/>
      <c r="S2088" s="1"/>
    </row>
    <row r="2089" spans="9:19" x14ac:dyDescent="0.3">
      <c r="I2089" s="1"/>
      <c r="S2089" s="1"/>
    </row>
    <row r="2090" spans="9:19" x14ac:dyDescent="0.3">
      <c r="I2090" s="1"/>
      <c r="S2090" s="1"/>
    </row>
    <row r="2091" spans="9:19" x14ac:dyDescent="0.3">
      <c r="I2091" s="1"/>
      <c r="S2091" s="1"/>
    </row>
    <row r="2092" spans="9:19" x14ac:dyDescent="0.3">
      <c r="I2092" s="1"/>
      <c r="S2092" s="1"/>
    </row>
    <row r="2093" spans="9:19" x14ac:dyDescent="0.3">
      <c r="I2093" s="1"/>
      <c r="S2093" s="1"/>
    </row>
    <row r="2094" spans="9:19" x14ac:dyDescent="0.3">
      <c r="I2094" s="1"/>
      <c r="S2094" s="1"/>
    </row>
    <row r="2095" spans="9:19" x14ac:dyDescent="0.3">
      <c r="I2095" s="1"/>
      <c r="S2095" s="1"/>
    </row>
    <row r="2096" spans="9:19" x14ac:dyDescent="0.3">
      <c r="I2096" s="1"/>
      <c r="S2096" s="1"/>
    </row>
    <row r="2097" spans="9:19" x14ac:dyDescent="0.3">
      <c r="I2097" s="1"/>
      <c r="S2097" s="1"/>
    </row>
    <row r="2098" spans="9:19" x14ac:dyDescent="0.3">
      <c r="I2098" s="1"/>
      <c r="S2098" s="1"/>
    </row>
    <row r="2099" spans="9:19" x14ac:dyDescent="0.3">
      <c r="I2099" s="1"/>
      <c r="S2099" s="1"/>
    </row>
    <row r="2100" spans="9:19" x14ac:dyDescent="0.3">
      <c r="I2100" s="1"/>
      <c r="S2100" s="1"/>
    </row>
    <row r="2101" spans="9:19" x14ac:dyDescent="0.3">
      <c r="I2101" s="1"/>
      <c r="S2101" s="1"/>
    </row>
    <row r="2102" spans="9:19" x14ac:dyDescent="0.3">
      <c r="I2102" s="1"/>
      <c r="S2102" s="1"/>
    </row>
    <row r="2103" spans="9:19" x14ac:dyDescent="0.3">
      <c r="I2103" s="1"/>
      <c r="S2103" s="1"/>
    </row>
    <row r="2104" spans="9:19" x14ac:dyDescent="0.3">
      <c r="I2104" s="1"/>
      <c r="S2104" s="1"/>
    </row>
    <row r="2105" spans="9:19" x14ac:dyDescent="0.3">
      <c r="I2105" s="1"/>
      <c r="S2105" s="1"/>
    </row>
    <row r="2106" spans="9:19" x14ac:dyDescent="0.3">
      <c r="I2106" s="1"/>
      <c r="S2106" s="1"/>
    </row>
    <row r="2107" spans="9:19" x14ac:dyDescent="0.3">
      <c r="I2107" s="1"/>
      <c r="S2107" s="1"/>
    </row>
    <row r="2108" spans="9:19" x14ac:dyDescent="0.3">
      <c r="I2108" s="1"/>
      <c r="S2108" s="1"/>
    </row>
    <row r="2109" spans="9:19" x14ac:dyDescent="0.3">
      <c r="I2109" s="1"/>
      <c r="S2109" s="1"/>
    </row>
    <row r="2110" spans="9:19" x14ac:dyDescent="0.3">
      <c r="I2110" s="1"/>
      <c r="S2110" s="1"/>
    </row>
    <row r="2111" spans="9:19" x14ac:dyDescent="0.3">
      <c r="I2111" s="1"/>
      <c r="S2111" s="1"/>
    </row>
    <row r="2112" spans="9:19" x14ac:dyDescent="0.3">
      <c r="I2112" s="1"/>
      <c r="S2112" s="1"/>
    </row>
    <row r="2113" spans="9:19" x14ac:dyDescent="0.3">
      <c r="I2113" s="1"/>
      <c r="S2113" s="1"/>
    </row>
    <row r="2114" spans="9:19" x14ac:dyDescent="0.3">
      <c r="I2114" s="1"/>
      <c r="S2114" s="1"/>
    </row>
    <row r="2115" spans="9:19" x14ac:dyDescent="0.3">
      <c r="I2115" s="1"/>
      <c r="S2115" s="1"/>
    </row>
    <row r="2116" spans="9:19" x14ac:dyDescent="0.3">
      <c r="I2116" s="1"/>
      <c r="S2116" s="1"/>
    </row>
    <row r="2117" spans="9:19" x14ac:dyDescent="0.3">
      <c r="I2117" s="1"/>
      <c r="S2117" s="1"/>
    </row>
    <row r="2118" spans="9:19" x14ac:dyDescent="0.3">
      <c r="I2118" s="1"/>
      <c r="S2118" s="1"/>
    </row>
    <row r="2119" spans="9:19" x14ac:dyDescent="0.3">
      <c r="I2119" s="1"/>
      <c r="S2119" s="1"/>
    </row>
    <row r="2120" spans="9:19" x14ac:dyDescent="0.3">
      <c r="I2120" s="1"/>
      <c r="S2120" s="1"/>
    </row>
    <row r="2121" spans="9:19" x14ac:dyDescent="0.3">
      <c r="I2121" s="1"/>
      <c r="S2121" s="1"/>
    </row>
    <row r="2122" spans="9:19" x14ac:dyDescent="0.3">
      <c r="I2122" s="1"/>
      <c r="S2122" s="1"/>
    </row>
    <row r="2123" spans="9:19" x14ac:dyDescent="0.3">
      <c r="I2123" s="1"/>
      <c r="S2123" s="1"/>
    </row>
    <row r="2124" spans="9:19" x14ac:dyDescent="0.3">
      <c r="I2124" s="1"/>
      <c r="S2124" s="1"/>
    </row>
    <row r="2125" spans="9:19" x14ac:dyDescent="0.3">
      <c r="I2125" s="1"/>
      <c r="S2125" s="1"/>
    </row>
    <row r="2126" spans="9:19" x14ac:dyDescent="0.3">
      <c r="I2126" s="1"/>
      <c r="S2126" s="1"/>
    </row>
    <row r="2127" spans="9:19" x14ac:dyDescent="0.3">
      <c r="I2127" s="1"/>
      <c r="S2127" s="1"/>
    </row>
    <row r="2128" spans="9:19" x14ac:dyDescent="0.3">
      <c r="I2128" s="1"/>
      <c r="S2128" s="1"/>
    </row>
    <row r="2129" spans="9:19" x14ac:dyDescent="0.3">
      <c r="I2129" s="1"/>
      <c r="S2129" s="1"/>
    </row>
    <row r="2130" spans="9:19" x14ac:dyDescent="0.3">
      <c r="I2130" s="1"/>
      <c r="S2130" s="1"/>
    </row>
    <row r="2131" spans="9:19" x14ac:dyDescent="0.3">
      <c r="I2131" s="1"/>
      <c r="S2131" s="1"/>
    </row>
    <row r="2132" spans="9:19" x14ac:dyDescent="0.3">
      <c r="I2132" s="1"/>
      <c r="S2132" s="1"/>
    </row>
    <row r="2133" spans="9:19" x14ac:dyDescent="0.3">
      <c r="I2133" s="1"/>
      <c r="S2133" s="1"/>
    </row>
    <row r="2134" spans="9:19" x14ac:dyDescent="0.3">
      <c r="I2134" s="1"/>
      <c r="S2134" s="1"/>
    </row>
    <row r="2135" spans="9:19" x14ac:dyDescent="0.3">
      <c r="I2135" s="1"/>
      <c r="S2135" s="1"/>
    </row>
    <row r="2136" spans="9:19" x14ac:dyDescent="0.3">
      <c r="I2136" s="1"/>
      <c r="S2136" s="1"/>
    </row>
    <row r="2137" spans="9:19" x14ac:dyDescent="0.3">
      <c r="I2137" s="1"/>
      <c r="S2137" s="1"/>
    </row>
    <row r="2138" spans="9:19" x14ac:dyDescent="0.3">
      <c r="I2138" s="1"/>
      <c r="S2138" s="1"/>
    </row>
    <row r="2139" spans="9:19" x14ac:dyDescent="0.3">
      <c r="I2139" s="1"/>
      <c r="S2139" s="1"/>
    </row>
    <row r="2140" spans="9:19" x14ac:dyDescent="0.3">
      <c r="I2140" s="1"/>
      <c r="S2140" s="1"/>
    </row>
    <row r="2141" spans="9:19" x14ac:dyDescent="0.3">
      <c r="I2141" s="1"/>
      <c r="S2141" s="1"/>
    </row>
    <row r="2142" spans="9:19" x14ac:dyDescent="0.3">
      <c r="I2142" s="1"/>
      <c r="S2142" s="1"/>
    </row>
    <row r="2143" spans="9:19" x14ac:dyDescent="0.3">
      <c r="I2143" s="1"/>
      <c r="S2143" s="1"/>
    </row>
    <row r="2144" spans="9:19" x14ac:dyDescent="0.3">
      <c r="I2144" s="1"/>
      <c r="S2144" s="1"/>
    </row>
    <row r="2145" spans="9:19" x14ac:dyDescent="0.3">
      <c r="I2145" s="1"/>
      <c r="S2145" s="1"/>
    </row>
    <row r="2146" spans="9:19" x14ac:dyDescent="0.3">
      <c r="I2146" s="1"/>
      <c r="S2146" s="1"/>
    </row>
    <row r="2147" spans="9:19" x14ac:dyDescent="0.3">
      <c r="I2147" s="1"/>
      <c r="S2147" s="1"/>
    </row>
    <row r="2148" spans="9:19" x14ac:dyDescent="0.3">
      <c r="I2148" s="1"/>
      <c r="S2148" s="1"/>
    </row>
    <row r="2149" spans="9:19" x14ac:dyDescent="0.3">
      <c r="I2149" s="1"/>
      <c r="S2149" s="1"/>
    </row>
    <row r="2150" spans="9:19" x14ac:dyDescent="0.3">
      <c r="I2150" s="1"/>
      <c r="S2150" s="1"/>
    </row>
    <row r="2151" spans="9:19" x14ac:dyDescent="0.3">
      <c r="I2151" s="1"/>
      <c r="S2151" s="1"/>
    </row>
    <row r="2152" spans="9:19" x14ac:dyDescent="0.3">
      <c r="I2152" s="1"/>
      <c r="S2152" s="1"/>
    </row>
    <row r="2153" spans="9:19" x14ac:dyDescent="0.3">
      <c r="I2153" s="1"/>
      <c r="S2153" s="1"/>
    </row>
    <row r="2154" spans="9:19" x14ac:dyDescent="0.3">
      <c r="I2154" s="1"/>
      <c r="S2154" s="1"/>
    </row>
    <row r="2155" spans="9:19" x14ac:dyDescent="0.3">
      <c r="I2155" s="1"/>
      <c r="S2155" s="1"/>
    </row>
    <row r="2156" spans="9:19" x14ac:dyDescent="0.3">
      <c r="I2156" s="1"/>
      <c r="S2156" s="1"/>
    </row>
    <row r="2157" spans="9:19" x14ac:dyDescent="0.3">
      <c r="I2157" s="1"/>
      <c r="S2157" s="1"/>
    </row>
    <row r="2158" spans="9:19" x14ac:dyDescent="0.3">
      <c r="I2158" s="1"/>
      <c r="S2158" s="1"/>
    </row>
    <row r="2159" spans="9:19" x14ac:dyDescent="0.3">
      <c r="I2159" s="1"/>
      <c r="S2159" s="1"/>
    </row>
    <row r="2160" spans="9:19" x14ac:dyDescent="0.3">
      <c r="I2160" s="1"/>
      <c r="S2160" s="1"/>
    </row>
    <row r="2161" spans="9:19" x14ac:dyDescent="0.3">
      <c r="I2161" s="1"/>
      <c r="S2161" s="1"/>
    </row>
    <row r="2162" spans="9:19" x14ac:dyDescent="0.3">
      <c r="I2162" s="1"/>
      <c r="S2162" s="1"/>
    </row>
    <row r="2163" spans="9:19" x14ac:dyDescent="0.3">
      <c r="I2163" s="1"/>
      <c r="S2163" s="1"/>
    </row>
    <row r="2164" spans="9:19" x14ac:dyDescent="0.3">
      <c r="I2164" s="1"/>
      <c r="S2164" s="1"/>
    </row>
    <row r="2165" spans="9:19" x14ac:dyDescent="0.3">
      <c r="I2165" s="1"/>
      <c r="S2165" s="1"/>
    </row>
    <row r="2166" spans="9:19" x14ac:dyDescent="0.3">
      <c r="I2166" s="1"/>
      <c r="S2166" s="1"/>
    </row>
    <row r="2167" spans="9:19" x14ac:dyDescent="0.3">
      <c r="I2167" s="1"/>
      <c r="S2167" s="1"/>
    </row>
    <row r="2168" spans="9:19" x14ac:dyDescent="0.3">
      <c r="I2168" s="1"/>
      <c r="S2168" s="1"/>
    </row>
    <row r="2169" spans="9:19" x14ac:dyDescent="0.3">
      <c r="I2169" s="1"/>
      <c r="S2169" s="1"/>
    </row>
    <row r="2170" spans="9:19" x14ac:dyDescent="0.3">
      <c r="I2170" s="1"/>
      <c r="S2170" s="1"/>
    </row>
    <row r="2171" spans="9:19" x14ac:dyDescent="0.3">
      <c r="I2171" s="1"/>
      <c r="S2171" s="1"/>
    </row>
    <row r="2172" spans="9:19" x14ac:dyDescent="0.3">
      <c r="I2172" s="1"/>
      <c r="S2172" s="1"/>
    </row>
    <row r="2173" spans="9:19" x14ac:dyDescent="0.3">
      <c r="I2173" s="1"/>
      <c r="S2173" s="1"/>
    </row>
    <row r="2174" spans="9:19" x14ac:dyDescent="0.3">
      <c r="I2174" s="1"/>
      <c r="S2174" s="1"/>
    </row>
    <row r="2175" spans="9:19" x14ac:dyDescent="0.3">
      <c r="I2175" s="1"/>
      <c r="S2175" s="1"/>
    </row>
    <row r="2176" spans="9:19" x14ac:dyDescent="0.3">
      <c r="I2176" s="1"/>
      <c r="S2176" s="1"/>
    </row>
    <row r="2177" spans="9:19" x14ac:dyDescent="0.3">
      <c r="I2177" s="1"/>
      <c r="S2177" s="1"/>
    </row>
    <row r="2178" spans="9:19" x14ac:dyDescent="0.3">
      <c r="I2178" s="1"/>
      <c r="S2178" s="1"/>
    </row>
    <row r="2179" spans="9:19" x14ac:dyDescent="0.3">
      <c r="I2179" s="1"/>
      <c r="S2179" s="1"/>
    </row>
    <row r="2180" spans="9:19" x14ac:dyDescent="0.3">
      <c r="I2180" s="1"/>
      <c r="S2180" s="1"/>
    </row>
    <row r="2181" spans="9:19" x14ac:dyDescent="0.3">
      <c r="I2181" s="1"/>
      <c r="S2181" s="1"/>
    </row>
    <row r="2182" spans="9:19" x14ac:dyDescent="0.3">
      <c r="I2182" s="1"/>
      <c r="S2182" s="1"/>
    </row>
    <row r="2183" spans="9:19" x14ac:dyDescent="0.3">
      <c r="I2183" s="1"/>
      <c r="S2183" s="1"/>
    </row>
    <row r="2184" spans="9:19" x14ac:dyDescent="0.3">
      <c r="I2184" s="1"/>
      <c r="S2184" s="1"/>
    </row>
    <row r="2185" spans="9:19" x14ac:dyDescent="0.3">
      <c r="I2185" s="1"/>
      <c r="S2185" s="1"/>
    </row>
    <row r="2186" spans="9:19" x14ac:dyDescent="0.3">
      <c r="I2186" s="1"/>
      <c r="S2186" s="1"/>
    </row>
    <row r="2187" spans="9:19" x14ac:dyDescent="0.3">
      <c r="I2187" s="1"/>
      <c r="S2187" s="1"/>
    </row>
    <row r="2188" spans="9:19" x14ac:dyDescent="0.3">
      <c r="I2188" s="1"/>
      <c r="S2188" s="1"/>
    </row>
    <row r="2189" spans="9:19" x14ac:dyDescent="0.3">
      <c r="I2189" s="1"/>
      <c r="S2189" s="1"/>
    </row>
    <row r="2190" spans="9:19" x14ac:dyDescent="0.3">
      <c r="I2190" s="1"/>
      <c r="S2190" s="1"/>
    </row>
    <row r="2191" spans="9:19" x14ac:dyDescent="0.3">
      <c r="I2191" s="1"/>
      <c r="S2191" s="1"/>
    </row>
    <row r="2192" spans="9:19" x14ac:dyDescent="0.3">
      <c r="I2192" s="1"/>
      <c r="S2192" s="1"/>
    </row>
    <row r="2193" spans="9:19" x14ac:dyDescent="0.3">
      <c r="I2193" s="1"/>
      <c r="S2193" s="1"/>
    </row>
    <row r="2194" spans="9:19" x14ac:dyDescent="0.3">
      <c r="I2194" s="1"/>
      <c r="S2194" s="1"/>
    </row>
    <row r="2195" spans="9:19" x14ac:dyDescent="0.3">
      <c r="I2195" s="1"/>
      <c r="S2195" s="1"/>
    </row>
    <row r="2196" spans="9:19" x14ac:dyDescent="0.3">
      <c r="I2196" s="1"/>
      <c r="S2196" s="1"/>
    </row>
    <row r="2197" spans="9:19" x14ac:dyDescent="0.3">
      <c r="I2197" s="1"/>
      <c r="S2197" s="1"/>
    </row>
    <row r="2198" spans="9:19" x14ac:dyDescent="0.3">
      <c r="I2198" s="1"/>
      <c r="S2198" s="1"/>
    </row>
    <row r="2199" spans="9:19" x14ac:dyDescent="0.3">
      <c r="I2199" s="1"/>
      <c r="S2199" s="1"/>
    </row>
    <row r="2200" spans="9:19" x14ac:dyDescent="0.3">
      <c r="I2200" s="1"/>
      <c r="S2200" s="1"/>
    </row>
    <row r="2201" spans="9:19" x14ac:dyDescent="0.3">
      <c r="I2201" s="1"/>
      <c r="S2201" s="1"/>
    </row>
    <row r="2202" spans="9:19" x14ac:dyDescent="0.3">
      <c r="I2202" s="1"/>
      <c r="S2202" s="1"/>
    </row>
    <row r="2203" spans="9:19" x14ac:dyDescent="0.3">
      <c r="I2203" s="1"/>
      <c r="S2203" s="1"/>
    </row>
    <row r="2204" spans="9:19" x14ac:dyDescent="0.3">
      <c r="I2204" s="1"/>
      <c r="S2204" s="1"/>
    </row>
    <row r="2205" spans="9:19" x14ac:dyDescent="0.3">
      <c r="I2205" s="1"/>
      <c r="S2205" s="1"/>
    </row>
    <row r="2206" spans="9:19" x14ac:dyDescent="0.3">
      <c r="I2206" s="1"/>
      <c r="S2206" s="1"/>
    </row>
    <row r="2207" spans="9:19" x14ac:dyDescent="0.3">
      <c r="I2207" s="1"/>
      <c r="S2207" s="1"/>
    </row>
    <row r="2208" spans="9:19" x14ac:dyDescent="0.3">
      <c r="I2208" s="1"/>
      <c r="S2208" s="1"/>
    </row>
    <row r="2209" spans="9:19" x14ac:dyDescent="0.3">
      <c r="I2209" s="1"/>
      <c r="S2209" s="1"/>
    </row>
    <row r="2210" spans="9:19" x14ac:dyDescent="0.3">
      <c r="I2210" s="1"/>
      <c r="S2210" s="1"/>
    </row>
    <row r="2211" spans="9:19" x14ac:dyDescent="0.3">
      <c r="I2211" s="1"/>
      <c r="S2211" s="1"/>
    </row>
    <row r="2212" spans="9:19" x14ac:dyDescent="0.3">
      <c r="I2212" s="1"/>
      <c r="S2212" s="1"/>
    </row>
    <row r="2213" spans="9:19" x14ac:dyDescent="0.3">
      <c r="I2213" s="1"/>
      <c r="S2213" s="1"/>
    </row>
    <row r="2214" spans="9:19" x14ac:dyDescent="0.3">
      <c r="I2214" s="1"/>
      <c r="S2214" s="1"/>
    </row>
    <row r="2215" spans="9:19" x14ac:dyDescent="0.3">
      <c r="I2215" s="1"/>
      <c r="S2215" s="1"/>
    </row>
    <row r="2216" spans="9:19" x14ac:dyDescent="0.3">
      <c r="I2216" s="1"/>
      <c r="S2216" s="1"/>
    </row>
    <row r="2217" spans="9:19" x14ac:dyDescent="0.3">
      <c r="I2217" s="1"/>
      <c r="S2217" s="1"/>
    </row>
    <row r="2218" spans="9:19" x14ac:dyDescent="0.3">
      <c r="I2218" s="1"/>
      <c r="S2218" s="1"/>
    </row>
    <row r="2219" spans="9:19" x14ac:dyDescent="0.3">
      <c r="I2219" s="1"/>
      <c r="S2219" s="1"/>
    </row>
    <row r="2220" spans="9:19" x14ac:dyDescent="0.3">
      <c r="I2220" s="1"/>
      <c r="S2220" s="1"/>
    </row>
    <row r="2221" spans="9:19" x14ac:dyDescent="0.3">
      <c r="I2221" s="1"/>
      <c r="S2221" s="1"/>
    </row>
    <row r="2222" spans="9:19" x14ac:dyDescent="0.3">
      <c r="I2222" s="1"/>
      <c r="S2222" s="1"/>
    </row>
    <row r="2223" spans="9:19" x14ac:dyDescent="0.3">
      <c r="I2223" s="1"/>
      <c r="S2223" s="1"/>
    </row>
    <row r="2224" spans="9:19" x14ac:dyDescent="0.3">
      <c r="I2224" s="1"/>
      <c r="S2224" s="1"/>
    </row>
    <row r="2225" spans="9:19" x14ac:dyDescent="0.3">
      <c r="I2225" s="1"/>
      <c r="S2225" s="1"/>
    </row>
    <row r="2226" spans="9:19" x14ac:dyDescent="0.3">
      <c r="I2226" s="1"/>
      <c r="S2226" s="1"/>
    </row>
    <row r="2227" spans="9:19" x14ac:dyDescent="0.3">
      <c r="I2227" s="1"/>
      <c r="S2227" s="1"/>
    </row>
    <row r="2228" spans="9:19" x14ac:dyDescent="0.3">
      <c r="I2228" s="1"/>
      <c r="S2228" s="1"/>
    </row>
    <row r="2229" spans="9:19" x14ac:dyDescent="0.3">
      <c r="I2229" s="1"/>
      <c r="S2229" s="1"/>
    </row>
    <row r="2230" spans="9:19" x14ac:dyDescent="0.3">
      <c r="I2230" s="1"/>
      <c r="S2230" s="1"/>
    </row>
    <row r="2231" spans="9:19" x14ac:dyDescent="0.3">
      <c r="I2231" s="1"/>
      <c r="S2231" s="1"/>
    </row>
    <row r="2232" spans="9:19" x14ac:dyDescent="0.3">
      <c r="I2232" s="1"/>
      <c r="S2232" s="1"/>
    </row>
    <row r="2233" spans="9:19" x14ac:dyDescent="0.3">
      <c r="I2233" s="1"/>
      <c r="S2233" s="1"/>
    </row>
    <row r="2234" spans="9:19" x14ac:dyDescent="0.3">
      <c r="I2234" s="1"/>
      <c r="S2234" s="1"/>
    </row>
    <row r="2235" spans="9:19" x14ac:dyDescent="0.3">
      <c r="I2235" s="1"/>
      <c r="S2235" s="1"/>
    </row>
    <row r="2236" spans="9:19" x14ac:dyDescent="0.3">
      <c r="I2236" s="1"/>
      <c r="S2236" s="1"/>
    </row>
    <row r="2237" spans="9:19" x14ac:dyDescent="0.3">
      <c r="I2237" s="1"/>
      <c r="S2237" s="1"/>
    </row>
    <row r="2238" spans="9:19" x14ac:dyDescent="0.3">
      <c r="I2238" s="1"/>
      <c r="S2238" s="1"/>
    </row>
    <row r="2239" spans="9:19" x14ac:dyDescent="0.3">
      <c r="I2239" s="1"/>
      <c r="S2239" s="1"/>
    </row>
    <row r="2240" spans="9:19" x14ac:dyDescent="0.3">
      <c r="I2240" s="1"/>
      <c r="S2240" s="1"/>
    </row>
    <row r="2241" spans="9:19" x14ac:dyDescent="0.3">
      <c r="I2241" s="1"/>
      <c r="S2241" s="1"/>
    </row>
    <row r="2242" spans="9:19" x14ac:dyDescent="0.3">
      <c r="I2242" s="1"/>
      <c r="S2242" s="1"/>
    </row>
    <row r="2243" spans="9:19" x14ac:dyDescent="0.3">
      <c r="I2243" s="1"/>
      <c r="S2243" s="1"/>
    </row>
    <row r="2244" spans="9:19" x14ac:dyDescent="0.3">
      <c r="I2244" s="1"/>
      <c r="S2244" s="1"/>
    </row>
    <row r="2245" spans="9:19" x14ac:dyDescent="0.3">
      <c r="I2245" s="1"/>
      <c r="S2245" s="1"/>
    </row>
    <row r="2246" spans="9:19" x14ac:dyDescent="0.3">
      <c r="I2246" s="1"/>
      <c r="S2246" s="1"/>
    </row>
    <row r="2247" spans="9:19" x14ac:dyDescent="0.3">
      <c r="I2247" s="1"/>
      <c r="S2247" s="1"/>
    </row>
    <row r="2248" spans="9:19" x14ac:dyDescent="0.3">
      <c r="I2248" s="1"/>
      <c r="S2248" s="1"/>
    </row>
    <row r="2249" spans="9:19" x14ac:dyDescent="0.3">
      <c r="I2249" s="1"/>
      <c r="S2249" s="1"/>
    </row>
    <row r="2250" spans="9:19" x14ac:dyDescent="0.3">
      <c r="I2250" s="1"/>
      <c r="S2250" s="1"/>
    </row>
    <row r="2251" spans="9:19" x14ac:dyDescent="0.3">
      <c r="I2251" s="1"/>
      <c r="S2251" s="1"/>
    </row>
    <row r="2252" spans="9:19" x14ac:dyDescent="0.3">
      <c r="I2252" s="1"/>
      <c r="S2252" s="1"/>
    </row>
    <row r="2253" spans="9:19" x14ac:dyDescent="0.3">
      <c r="I2253" s="1"/>
      <c r="S2253" s="1"/>
    </row>
    <row r="2254" spans="9:19" x14ac:dyDescent="0.3">
      <c r="I2254" s="1"/>
      <c r="S2254" s="1"/>
    </row>
    <row r="2255" spans="9:19" x14ac:dyDescent="0.3">
      <c r="I2255" s="1"/>
      <c r="S2255" s="1"/>
    </row>
    <row r="2256" spans="9:19" x14ac:dyDescent="0.3">
      <c r="I2256" s="1"/>
      <c r="S2256" s="1"/>
    </row>
    <row r="2257" spans="9:19" x14ac:dyDescent="0.3">
      <c r="I2257" s="1"/>
      <c r="S2257" s="1"/>
    </row>
    <row r="2258" spans="9:19" x14ac:dyDescent="0.3">
      <c r="I2258" s="1"/>
      <c r="S2258" s="1"/>
    </row>
    <row r="2259" spans="9:19" x14ac:dyDescent="0.3">
      <c r="I2259" s="1"/>
      <c r="S2259" s="1"/>
    </row>
    <row r="2260" spans="9:19" x14ac:dyDescent="0.3">
      <c r="I2260" s="1"/>
      <c r="S2260" s="1"/>
    </row>
    <row r="2261" spans="9:19" x14ac:dyDescent="0.3">
      <c r="I2261" s="1"/>
      <c r="S2261" s="1"/>
    </row>
    <row r="2262" spans="9:19" x14ac:dyDescent="0.3">
      <c r="I2262" s="1"/>
      <c r="S2262" s="1"/>
    </row>
    <row r="2263" spans="9:19" x14ac:dyDescent="0.3">
      <c r="I2263" s="1"/>
      <c r="S2263" s="1"/>
    </row>
    <row r="2264" spans="9:19" x14ac:dyDescent="0.3">
      <c r="I2264" s="1"/>
      <c r="S2264" s="1"/>
    </row>
    <row r="2265" spans="9:19" x14ac:dyDescent="0.3">
      <c r="I2265" s="1"/>
      <c r="S2265" s="1"/>
    </row>
    <row r="2266" spans="9:19" x14ac:dyDescent="0.3">
      <c r="I2266" s="1"/>
      <c r="S2266" s="1"/>
    </row>
    <row r="2267" spans="9:19" x14ac:dyDescent="0.3">
      <c r="I2267" s="1"/>
      <c r="S2267" s="1"/>
    </row>
    <row r="2268" spans="9:19" x14ac:dyDescent="0.3">
      <c r="I2268" s="1"/>
      <c r="S2268" s="1"/>
    </row>
    <row r="2269" spans="9:19" x14ac:dyDescent="0.3">
      <c r="I2269" s="1"/>
      <c r="S2269" s="1"/>
    </row>
    <row r="2270" spans="9:19" x14ac:dyDescent="0.3">
      <c r="I2270" s="1"/>
      <c r="S2270" s="1"/>
    </row>
    <row r="2271" spans="9:19" x14ac:dyDescent="0.3">
      <c r="I2271" s="1"/>
      <c r="S2271" s="1"/>
    </row>
    <row r="2272" spans="9:19" x14ac:dyDescent="0.3">
      <c r="I2272" s="1"/>
      <c r="S2272" s="1"/>
    </row>
    <row r="2273" spans="9:19" x14ac:dyDescent="0.3">
      <c r="I2273" s="1"/>
      <c r="S2273" s="1"/>
    </row>
    <row r="2274" spans="9:19" x14ac:dyDescent="0.3">
      <c r="I2274" s="1"/>
      <c r="S2274" s="1"/>
    </row>
    <row r="2275" spans="9:19" x14ac:dyDescent="0.3">
      <c r="I2275" s="1"/>
      <c r="S2275" s="1"/>
    </row>
    <row r="2276" spans="9:19" x14ac:dyDescent="0.3">
      <c r="I2276" s="1"/>
      <c r="S2276" s="1"/>
    </row>
    <row r="2277" spans="9:19" x14ac:dyDescent="0.3">
      <c r="I2277" s="1"/>
      <c r="S2277" s="1"/>
    </row>
    <row r="2278" spans="9:19" x14ac:dyDescent="0.3">
      <c r="I2278" s="1"/>
      <c r="S2278" s="1"/>
    </row>
    <row r="2279" spans="9:19" x14ac:dyDescent="0.3">
      <c r="I2279" s="1"/>
      <c r="S2279" s="1"/>
    </row>
    <row r="2280" spans="9:19" x14ac:dyDescent="0.3">
      <c r="I2280" s="1"/>
      <c r="S2280" s="1"/>
    </row>
    <row r="2281" spans="9:19" x14ac:dyDescent="0.3">
      <c r="I2281" s="1"/>
      <c r="S2281" s="1"/>
    </row>
    <row r="2282" spans="9:19" x14ac:dyDescent="0.3">
      <c r="I2282" s="1"/>
      <c r="S2282" s="1"/>
    </row>
    <row r="2283" spans="9:19" x14ac:dyDescent="0.3">
      <c r="I2283" s="1"/>
      <c r="S2283" s="1"/>
    </row>
    <row r="2284" spans="9:19" x14ac:dyDescent="0.3">
      <c r="I2284" s="1"/>
      <c r="S2284" s="1"/>
    </row>
    <row r="2285" spans="9:19" x14ac:dyDescent="0.3">
      <c r="I2285" s="1"/>
      <c r="S2285" s="1"/>
    </row>
    <row r="2286" spans="9:19" x14ac:dyDescent="0.3">
      <c r="I2286" s="1"/>
      <c r="S2286" s="1"/>
    </row>
    <row r="2287" spans="9:19" x14ac:dyDescent="0.3">
      <c r="I2287" s="1"/>
      <c r="S2287" s="1"/>
    </row>
    <row r="2288" spans="9:19" x14ac:dyDescent="0.3">
      <c r="I2288" s="1"/>
      <c r="S2288" s="1"/>
    </row>
    <row r="2289" spans="9:19" x14ac:dyDescent="0.3">
      <c r="I2289" s="1"/>
      <c r="S2289" s="1"/>
    </row>
    <row r="2290" spans="9:19" x14ac:dyDescent="0.3">
      <c r="I2290" s="1"/>
      <c r="S2290" s="1"/>
    </row>
    <row r="2291" spans="9:19" x14ac:dyDescent="0.3">
      <c r="I2291" s="1"/>
      <c r="S2291" s="1"/>
    </row>
    <row r="2292" spans="9:19" x14ac:dyDescent="0.3">
      <c r="I2292" s="1"/>
      <c r="S2292" s="1"/>
    </row>
    <row r="2293" spans="9:19" x14ac:dyDescent="0.3">
      <c r="I2293" s="1"/>
      <c r="S2293" s="1"/>
    </row>
    <row r="2294" spans="9:19" x14ac:dyDescent="0.3">
      <c r="I2294" s="1"/>
      <c r="S2294" s="1"/>
    </row>
    <row r="2295" spans="9:19" x14ac:dyDescent="0.3">
      <c r="I2295" s="1"/>
      <c r="S2295" s="1"/>
    </row>
    <row r="2296" spans="9:19" x14ac:dyDescent="0.3">
      <c r="I2296" s="1"/>
      <c r="S2296" s="1"/>
    </row>
    <row r="2297" spans="9:19" x14ac:dyDescent="0.3">
      <c r="I2297" s="1"/>
      <c r="S2297" s="1"/>
    </row>
    <row r="2298" spans="9:19" x14ac:dyDescent="0.3">
      <c r="I2298" s="1"/>
      <c r="S2298" s="1"/>
    </row>
    <row r="2299" spans="9:19" x14ac:dyDescent="0.3">
      <c r="I2299" s="1"/>
      <c r="S2299" s="1"/>
    </row>
    <row r="2300" spans="9:19" x14ac:dyDescent="0.3">
      <c r="I2300" s="1"/>
      <c r="S2300" s="1"/>
    </row>
    <row r="2301" spans="9:19" x14ac:dyDescent="0.3">
      <c r="I2301" s="1"/>
      <c r="S2301" s="1"/>
    </row>
    <row r="2302" spans="9:19" x14ac:dyDescent="0.3">
      <c r="I2302" s="1"/>
      <c r="S2302" s="1"/>
    </row>
    <row r="2303" spans="9:19" x14ac:dyDescent="0.3">
      <c r="I2303" s="1"/>
      <c r="S2303" s="1"/>
    </row>
    <row r="2304" spans="9:19" x14ac:dyDescent="0.3">
      <c r="I2304" s="1"/>
      <c r="S2304" s="1"/>
    </row>
    <row r="2305" spans="9:19" x14ac:dyDescent="0.3">
      <c r="I2305" s="1"/>
      <c r="S2305" s="1"/>
    </row>
    <row r="2306" spans="9:19" x14ac:dyDescent="0.3">
      <c r="I2306" s="1"/>
      <c r="S2306" s="1"/>
    </row>
    <row r="2307" spans="9:19" x14ac:dyDescent="0.3">
      <c r="I2307" s="1"/>
      <c r="S2307" s="1"/>
    </row>
    <row r="2308" spans="9:19" x14ac:dyDescent="0.3">
      <c r="I2308" s="1"/>
      <c r="S2308" s="1"/>
    </row>
    <row r="2309" spans="9:19" x14ac:dyDescent="0.3">
      <c r="I2309" s="1"/>
      <c r="S2309" s="1"/>
    </row>
    <row r="2310" spans="9:19" x14ac:dyDescent="0.3">
      <c r="I2310" s="1"/>
      <c r="S2310" s="1"/>
    </row>
    <row r="2311" spans="9:19" x14ac:dyDescent="0.3">
      <c r="I2311" s="1"/>
      <c r="S2311" s="1"/>
    </row>
    <row r="2312" spans="9:19" x14ac:dyDescent="0.3">
      <c r="I2312" s="1"/>
      <c r="S2312" s="1"/>
    </row>
    <row r="2313" spans="9:19" x14ac:dyDescent="0.3">
      <c r="I2313" s="1"/>
      <c r="S2313" s="1"/>
    </row>
    <row r="2314" spans="9:19" x14ac:dyDescent="0.3">
      <c r="I2314" s="1"/>
      <c r="S2314" s="1"/>
    </row>
    <row r="2315" spans="9:19" x14ac:dyDescent="0.3">
      <c r="I2315" s="1"/>
      <c r="S2315" s="1"/>
    </row>
    <row r="2316" spans="9:19" x14ac:dyDescent="0.3">
      <c r="I2316" s="1"/>
      <c r="S2316" s="1"/>
    </row>
    <row r="2317" spans="9:19" x14ac:dyDescent="0.3">
      <c r="I2317" s="1"/>
      <c r="S2317" s="1"/>
    </row>
    <row r="2318" spans="9:19" x14ac:dyDescent="0.3">
      <c r="I2318" s="1"/>
      <c r="S2318" s="1"/>
    </row>
    <row r="2319" spans="9:19" x14ac:dyDescent="0.3">
      <c r="I2319" s="1"/>
      <c r="S2319" s="1"/>
    </row>
    <row r="2320" spans="9:19" x14ac:dyDescent="0.3">
      <c r="I2320" s="1"/>
      <c r="S2320" s="1"/>
    </row>
    <row r="2321" spans="9:19" x14ac:dyDescent="0.3">
      <c r="I2321" s="1"/>
      <c r="S2321" s="1"/>
    </row>
    <row r="2322" spans="9:19" x14ac:dyDescent="0.3">
      <c r="I2322" s="1"/>
      <c r="S2322" s="1"/>
    </row>
    <row r="2323" spans="9:19" x14ac:dyDescent="0.3">
      <c r="I2323" s="1"/>
      <c r="S2323" s="1"/>
    </row>
    <row r="2324" spans="9:19" x14ac:dyDescent="0.3">
      <c r="I2324" s="1"/>
      <c r="S2324" s="1"/>
    </row>
    <row r="2325" spans="9:19" x14ac:dyDescent="0.3">
      <c r="I2325" s="1"/>
      <c r="S2325" s="1"/>
    </row>
    <row r="2326" spans="9:19" x14ac:dyDescent="0.3">
      <c r="I2326" s="1"/>
      <c r="S2326" s="1"/>
    </row>
    <row r="2327" spans="9:19" x14ac:dyDescent="0.3">
      <c r="I2327" s="1"/>
      <c r="S2327" s="1"/>
    </row>
    <row r="2328" spans="9:19" x14ac:dyDescent="0.3">
      <c r="I2328" s="1"/>
      <c r="S2328" s="1"/>
    </row>
    <row r="2329" spans="9:19" x14ac:dyDescent="0.3">
      <c r="I2329" s="1"/>
      <c r="S2329" s="1"/>
    </row>
    <row r="2330" spans="9:19" x14ac:dyDescent="0.3">
      <c r="I2330" s="1"/>
      <c r="S2330" s="1"/>
    </row>
    <row r="2331" spans="9:19" x14ac:dyDescent="0.3">
      <c r="I2331" s="1"/>
      <c r="S2331" s="1"/>
    </row>
    <row r="2332" spans="9:19" x14ac:dyDescent="0.3">
      <c r="I2332" s="1"/>
      <c r="S2332" s="1"/>
    </row>
    <row r="2333" spans="9:19" x14ac:dyDescent="0.3">
      <c r="I2333" s="1"/>
      <c r="S2333" s="1"/>
    </row>
    <row r="2334" spans="9:19" x14ac:dyDescent="0.3">
      <c r="I2334" s="1"/>
      <c r="S2334" s="1"/>
    </row>
    <row r="2335" spans="9:19" x14ac:dyDescent="0.3">
      <c r="I2335" s="1"/>
      <c r="S2335" s="1"/>
    </row>
    <row r="2336" spans="9:19" x14ac:dyDescent="0.3">
      <c r="I2336" s="1"/>
      <c r="S2336" s="1"/>
    </row>
    <row r="2337" spans="9:19" x14ac:dyDescent="0.3">
      <c r="I2337" s="1"/>
      <c r="S2337" s="1"/>
    </row>
    <row r="2338" spans="9:19" x14ac:dyDescent="0.3">
      <c r="I2338" s="1"/>
      <c r="S2338" s="1"/>
    </row>
    <row r="2339" spans="9:19" x14ac:dyDescent="0.3">
      <c r="I2339" s="1"/>
      <c r="S2339" s="1"/>
    </row>
    <row r="2340" spans="9:19" x14ac:dyDescent="0.3">
      <c r="I2340" s="1"/>
      <c r="S2340" s="1"/>
    </row>
    <row r="2341" spans="9:19" x14ac:dyDescent="0.3">
      <c r="I2341" s="1"/>
      <c r="S2341" s="1"/>
    </row>
    <row r="2342" spans="9:19" x14ac:dyDescent="0.3">
      <c r="I2342" s="1"/>
      <c r="S2342" s="1"/>
    </row>
    <row r="2343" spans="9:19" x14ac:dyDescent="0.3">
      <c r="I2343" s="1"/>
      <c r="S2343" s="1"/>
    </row>
    <row r="2344" spans="9:19" x14ac:dyDescent="0.3">
      <c r="I2344" s="1"/>
      <c r="S2344" s="1"/>
    </row>
    <row r="2345" spans="9:19" x14ac:dyDescent="0.3">
      <c r="I2345" s="1"/>
      <c r="S2345" s="1"/>
    </row>
    <row r="2346" spans="9:19" x14ac:dyDescent="0.3">
      <c r="I2346" s="1"/>
      <c r="S2346" s="1"/>
    </row>
    <row r="2347" spans="9:19" x14ac:dyDescent="0.3">
      <c r="I2347" s="1"/>
      <c r="S2347" s="1"/>
    </row>
    <row r="2348" spans="9:19" x14ac:dyDescent="0.3">
      <c r="I2348" s="1"/>
      <c r="S2348" s="1"/>
    </row>
    <row r="2349" spans="9:19" x14ac:dyDescent="0.3">
      <c r="I2349" s="1"/>
      <c r="S2349" s="1"/>
    </row>
    <row r="2350" spans="9:19" x14ac:dyDescent="0.3">
      <c r="I2350" s="1"/>
      <c r="S2350" s="1"/>
    </row>
    <row r="2351" spans="9:19" x14ac:dyDescent="0.3">
      <c r="I2351" s="1"/>
      <c r="S2351" s="1"/>
    </row>
    <row r="2352" spans="9:19" x14ac:dyDescent="0.3">
      <c r="I2352" s="1"/>
      <c r="S2352" s="1"/>
    </row>
    <row r="2353" spans="9:19" x14ac:dyDescent="0.3">
      <c r="I2353" s="1"/>
      <c r="S2353" s="1"/>
    </row>
    <row r="2354" spans="9:19" x14ac:dyDescent="0.3">
      <c r="I2354" s="1"/>
      <c r="S2354" s="1"/>
    </row>
    <row r="2355" spans="9:19" x14ac:dyDescent="0.3">
      <c r="I2355" s="1"/>
      <c r="S2355" s="1"/>
    </row>
    <row r="2356" spans="9:19" x14ac:dyDescent="0.3">
      <c r="I2356" s="1"/>
      <c r="S2356" s="1"/>
    </row>
    <row r="2357" spans="9:19" x14ac:dyDescent="0.3">
      <c r="I2357" s="1"/>
      <c r="S2357" s="1"/>
    </row>
    <row r="2358" spans="9:19" x14ac:dyDescent="0.3">
      <c r="I2358" s="1"/>
      <c r="S2358" s="1"/>
    </row>
    <row r="2359" spans="9:19" x14ac:dyDescent="0.3">
      <c r="I2359" s="1"/>
      <c r="S2359" s="1"/>
    </row>
    <row r="2360" spans="9:19" x14ac:dyDescent="0.3">
      <c r="I2360" s="1"/>
      <c r="S2360" s="1"/>
    </row>
    <row r="2361" spans="9:19" x14ac:dyDescent="0.3">
      <c r="I2361" s="1"/>
      <c r="S2361" s="1"/>
    </row>
    <row r="2362" spans="9:19" x14ac:dyDescent="0.3">
      <c r="I2362" s="1"/>
      <c r="S2362" s="1"/>
    </row>
    <row r="2363" spans="9:19" x14ac:dyDescent="0.3">
      <c r="I2363" s="1"/>
      <c r="S2363" s="1"/>
    </row>
    <row r="2364" spans="9:19" x14ac:dyDescent="0.3">
      <c r="I2364" s="1"/>
      <c r="S2364" s="1"/>
    </row>
    <row r="2365" spans="9:19" x14ac:dyDescent="0.3">
      <c r="I2365" s="1"/>
      <c r="S2365" s="1"/>
    </row>
    <row r="2366" spans="9:19" x14ac:dyDescent="0.3">
      <c r="I2366" s="1"/>
      <c r="S2366" s="1"/>
    </row>
    <row r="2367" spans="9:19" x14ac:dyDescent="0.3">
      <c r="I2367" s="1"/>
      <c r="S2367" s="1"/>
    </row>
    <row r="2368" spans="9:19" x14ac:dyDescent="0.3">
      <c r="I2368" s="1"/>
      <c r="S2368" s="1"/>
    </row>
    <row r="2369" spans="9:19" x14ac:dyDescent="0.3">
      <c r="I2369" s="1"/>
      <c r="S2369" s="1"/>
    </row>
    <row r="2370" spans="9:19" x14ac:dyDescent="0.3">
      <c r="I2370" s="1"/>
      <c r="S2370" s="1"/>
    </row>
    <row r="2371" spans="9:19" x14ac:dyDescent="0.3">
      <c r="I2371" s="1"/>
      <c r="S2371" s="1"/>
    </row>
    <row r="2372" spans="9:19" x14ac:dyDescent="0.3">
      <c r="I2372" s="1"/>
      <c r="S2372" s="1"/>
    </row>
    <row r="2373" spans="9:19" x14ac:dyDescent="0.3">
      <c r="I2373" s="1"/>
      <c r="S2373" s="1"/>
    </row>
    <row r="2374" spans="9:19" x14ac:dyDescent="0.3">
      <c r="I2374" s="1"/>
      <c r="S2374" s="1"/>
    </row>
    <row r="2375" spans="9:19" x14ac:dyDescent="0.3">
      <c r="I2375" s="1"/>
      <c r="S2375" s="1"/>
    </row>
    <row r="2376" spans="9:19" x14ac:dyDescent="0.3">
      <c r="I2376" s="1"/>
      <c r="S2376" s="1"/>
    </row>
    <row r="2377" spans="9:19" x14ac:dyDescent="0.3">
      <c r="I2377" s="1"/>
      <c r="S2377" s="1"/>
    </row>
    <row r="2378" spans="9:19" x14ac:dyDescent="0.3">
      <c r="I2378" s="1"/>
      <c r="S2378" s="1"/>
    </row>
    <row r="2379" spans="9:19" x14ac:dyDescent="0.3">
      <c r="I2379" s="1"/>
      <c r="S2379" s="1"/>
    </row>
    <row r="2380" spans="9:19" x14ac:dyDescent="0.3">
      <c r="I2380" s="1"/>
      <c r="S2380" s="1"/>
    </row>
    <row r="2381" spans="9:19" x14ac:dyDescent="0.3">
      <c r="I2381" s="1"/>
      <c r="S2381" s="1"/>
    </row>
    <row r="2382" spans="9:19" x14ac:dyDescent="0.3">
      <c r="I2382" s="1"/>
      <c r="S2382" s="1"/>
    </row>
    <row r="2383" spans="9:19" x14ac:dyDescent="0.3">
      <c r="I2383" s="1"/>
      <c r="S2383" s="1"/>
    </row>
    <row r="2384" spans="9:19" x14ac:dyDescent="0.3">
      <c r="I2384" s="1"/>
      <c r="S2384" s="1"/>
    </row>
    <row r="2385" spans="9:19" x14ac:dyDescent="0.3">
      <c r="I2385" s="1"/>
      <c r="S2385" s="1"/>
    </row>
    <row r="2386" spans="9:19" x14ac:dyDescent="0.3">
      <c r="I2386" s="1"/>
      <c r="S2386" s="1"/>
    </row>
    <row r="2387" spans="9:19" x14ac:dyDescent="0.3">
      <c r="I2387" s="1"/>
      <c r="S2387" s="1"/>
    </row>
    <row r="2388" spans="9:19" x14ac:dyDescent="0.3">
      <c r="I2388" s="1"/>
      <c r="S2388" s="1"/>
    </row>
    <row r="2389" spans="9:19" x14ac:dyDescent="0.3">
      <c r="I2389" s="1"/>
      <c r="S2389" s="1"/>
    </row>
    <row r="2390" spans="9:19" x14ac:dyDescent="0.3">
      <c r="I2390" s="1"/>
      <c r="S2390" s="1"/>
    </row>
    <row r="2391" spans="9:19" x14ac:dyDescent="0.3">
      <c r="I2391" s="1"/>
      <c r="S2391" s="1"/>
    </row>
    <row r="2392" spans="9:19" x14ac:dyDescent="0.3">
      <c r="I2392" s="1"/>
      <c r="S2392" s="1"/>
    </row>
    <row r="2393" spans="9:19" x14ac:dyDescent="0.3">
      <c r="I2393" s="1"/>
      <c r="S2393" s="1"/>
    </row>
    <row r="2394" spans="9:19" x14ac:dyDescent="0.3">
      <c r="I2394" s="1"/>
      <c r="S2394" s="1"/>
    </row>
    <row r="2395" spans="9:19" x14ac:dyDescent="0.3">
      <c r="I2395" s="1"/>
      <c r="S2395" s="1"/>
    </row>
    <row r="2396" spans="9:19" x14ac:dyDescent="0.3">
      <c r="I2396" s="1"/>
      <c r="S2396" s="1"/>
    </row>
    <row r="2397" spans="9:19" x14ac:dyDescent="0.3">
      <c r="I2397" s="1"/>
      <c r="S2397" s="1"/>
    </row>
    <row r="2398" spans="9:19" x14ac:dyDescent="0.3">
      <c r="I2398" s="1"/>
      <c r="S2398" s="1"/>
    </row>
    <row r="2399" spans="9:19" x14ac:dyDescent="0.3">
      <c r="I2399" s="1"/>
      <c r="S2399" s="1"/>
    </row>
    <row r="2400" spans="9:19" x14ac:dyDescent="0.3">
      <c r="I2400" s="1"/>
      <c r="S2400" s="1"/>
    </row>
    <row r="2401" spans="9:19" x14ac:dyDescent="0.3">
      <c r="I2401" s="1"/>
      <c r="S2401" s="1"/>
    </row>
    <row r="2402" spans="9:19" x14ac:dyDescent="0.3">
      <c r="I2402" s="1"/>
      <c r="S2402" s="1"/>
    </row>
    <row r="2403" spans="9:19" x14ac:dyDescent="0.3">
      <c r="I2403" s="1"/>
      <c r="S2403" s="1"/>
    </row>
    <row r="2404" spans="9:19" x14ac:dyDescent="0.3">
      <c r="I2404" s="1"/>
      <c r="S2404" s="1"/>
    </row>
    <row r="2405" spans="9:19" x14ac:dyDescent="0.3">
      <c r="I2405" s="1"/>
      <c r="S2405" s="1"/>
    </row>
    <row r="2406" spans="9:19" x14ac:dyDescent="0.3">
      <c r="I2406" s="1"/>
      <c r="S2406" s="1"/>
    </row>
    <row r="2407" spans="9:19" x14ac:dyDescent="0.3">
      <c r="I2407" s="1"/>
      <c r="S2407" s="1"/>
    </row>
    <row r="2408" spans="9:19" x14ac:dyDescent="0.3">
      <c r="I2408" s="1"/>
      <c r="S2408" s="1"/>
    </row>
    <row r="2409" spans="9:19" x14ac:dyDescent="0.3">
      <c r="I2409" s="1"/>
      <c r="S2409" s="1"/>
    </row>
    <row r="2410" spans="9:19" x14ac:dyDescent="0.3">
      <c r="I2410" s="1"/>
      <c r="S2410" s="1"/>
    </row>
    <row r="2411" spans="9:19" x14ac:dyDescent="0.3">
      <c r="I2411" s="1"/>
      <c r="S2411" s="1"/>
    </row>
    <row r="2412" spans="9:19" x14ac:dyDescent="0.3">
      <c r="I2412" s="1"/>
      <c r="S2412" s="1"/>
    </row>
    <row r="2413" spans="9:19" x14ac:dyDescent="0.3">
      <c r="I2413" s="1"/>
      <c r="S2413" s="1"/>
    </row>
    <row r="2414" spans="9:19" x14ac:dyDescent="0.3">
      <c r="I2414" s="1"/>
      <c r="S2414" s="1"/>
    </row>
    <row r="2415" spans="9:19" x14ac:dyDescent="0.3">
      <c r="I2415" s="1"/>
      <c r="S2415" s="1"/>
    </row>
    <row r="2416" spans="9:19" x14ac:dyDescent="0.3">
      <c r="I2416" s="1"/>
      <c r="S2416" s="1"/>
    </row>
    <row r="2417" spans="9:19" x14ac:dyDescent="0.3">
      <c r="I2417" s="1"/>
      <c r="S2417" s="1"/>
    </row>
    <row r="2418" spans="9:19" x14ac:dyDescent="0.3">
      <c r="I2418" s="1"/>
      <c r="S2418" s="1"/>
    </row>
    <row r="2419" spans="9:19" x14ac:dyDescent="0.3">
      <c r="I2419" s="1"/>
      <c r="S2419" s="1"/>
    </row>
    <row r="2420" spans="9:19" x14ac:dyDescent="0.3">
      <c r="I2420" s="1"/>
      <c r="S2420" s="1"/>
    </row>
    <row r="2421" spans="9:19" x14ac:dyDescent="0.3">
      <c r="I2421" s="1"/>
      <c r="S2421" s="1"/>
    </row>
    <row r="2422" spans="9:19" x14ac:dyDescent="0.3">
      <c r="I2422" s="1"/>
      <c r="S2422" s="1"/>
    </row>
    <row r="2423" spans="9:19" x14ac:dyDescent="0.3">
      <c r="I2423" s="1"/>
      <c r="S2423" s="1"/>
    </row>
    <row r="2424" spans="9:19" x14ac:dyDescent="0.3">
      <c r="I2424" s="1"/>
      <c r="S2424" s="1"/>
    </row>
    <row r="2425" spans="9:19" x14ac:dyDescent="0.3">
      <c r="I2425" s="1"/>
      <c r="S2425" s="1"/>
    </row>
    <row r="2426" spans="9:19" x14ac:dyDescent="0.3">
      <c r="I2426" s="1"/>
      <c r="S2426" s="1"/>
    </row>
    <row r="2427" spans="9:19" x14ac:dyDescent="0.3">
      <c r="I2427" s="1"/>
      <c r="S2427" s="1"/>
    </row>
    <row r="2428" spans="9:19" x14ac:dyDescent="0.3">
      <c r="I2428" s="1"/>
      <c r="S2428" s="1"/>
    </row>
    <row r="2429" spans="9:19" x14ac:dyDescent="0.3">
      <c r="I2429" s="1"/>
      <c r="S2429" s="1"/>
    </row>
    <row r="2430" spans="9:19" x14ac:dyDescent="0.3">
      <c r="I2430" s="1"/>
      <c r="S2430" s="1"/>
    </row>
    <row r="2431" spans="9:19" x14ac:dyDescent="0.3">
      <c r="I2431" s="1"/>
      <c r="S2431" s="1"/>
    </row>
    <row r="2432" spans="9:19" x14ac:dyDescent="0.3">
      <c r="I2432" s="1"/>
      <c r="S2432" s="1"/>
    </row>
    <row r="2433" spans="9:19" x14ac:dyDescent="0.3">
      <c r="I2433" s="1"/>
      <c r="S2433" s="1"/>
    </row>
    <row r="2434" spans="9:19" x14ac:dyDescent="0.3">
      <c r="I2434" s="1"/>
      <c r="S2434" s="1"/>
    </row>
    <row r="2435" spans="9:19" x14ac:dyDescent="0.3">
      <c r="I2435" s="1"/>
      <c r="S2435" s="1"/>
    </row>
    <row r="2436" spans="9:19" x14ac:dyDescent="0.3">
      <c r="I2436" s="1"/>
      <c r="S2436" s="1"/>
    </row>
    <row r="2437" spans="9:19" x14ac:dyDescent="0.3">
      <c r="I2437" s="1"/>
      <c r="S2437" s="1"/>
    </row>
    <row r="2438" spans="9:19" x14ac:dyDescent="0.3">
      <c r="I2438" s="1"/>
      <c r="S2438" s="1"/>
    </row>
    <row r="2439" spans="9:19" x14ac:dyDescent="0.3">
      <c r="I2439" s="1"/>
      <c r="S2439" s="1"/>
    </row>
    <row r="2440" spans="9:19" x14ac:dyDescent="0.3">
      <c r="I2440" s="1"/>
      <c r="S2440" s="1"/>
    </row>
    <row r="2441" spans="9:19" x14ac:dyDescent="0.3">
      <c r="I2441" s="1"/>
      <c r="S2441" s="1"/>
    </row>
    <row r="2442" spans="9:19" x14ac:dyDescent="0.3">
      <c r="I2442" s="1"/>
      <c r="S2442" s="1"/>
    </row>
    <row r="2443" spans="9:19" x14ac:dyDescent="0.3">
      <c r="I2443" s="1"/>
      <c r="S2443" s="1"/>
    </row>
    <row r="2444" spans="9:19" x14ac:dyDescent="0.3">
      <c r="I2444" s="1"/>
      <c r="S2444" s="1"/>
    </row>
    <row r="2445" spans="9:19" x14ac:dyDescent="0.3">
      <c r="I2445" s="1"/>
      <c r="S2445" s="1"/>
    </row>
    <row r="2446" spans="9:19" x14ac:dyDescent="0.3">
      <c r="I2446" s="1"/>
      <c r="S2446" s="1"/>
    </row>
    <row r="2447" spans="9:19" x14ac:dyDescent="0.3">
      <c r="I2447" s="1"/>
      <c r="S2447" s="1"/>
    </row>
    <row r="2448" spans="9:19" x14ac:dyDescent="0.3">
      <c r="I2448" s="1"/>
      <c r="S2448" s="1"/>
    </row>
    <row r="2449" spans="9:19" x14ac:dyDescent="0.3">
      <c r="I2449" s="1"/>
      <c r="S2449" s="1"/>
    </row>
    <row r="2450" spans="9:19" x14ac:dyDescent="0.3">
      <c r="I2450" s="1"/>
      <c r="S2450" s="1"/>
    </row>
    <row r="2451" spans="9:19" x14ac:dyDescent="0.3">
      <c r="I2451" s="1"/>
      <c r="S2451" s="1"/>
    </row>
    <row r="2452" spans="9:19" x14ac:dyDescent="0.3">
      <c r="I2452" s="1"/>
      <c r="S2452" s="1"/>
    </row>
    <row r="2453" spans="9:19" x14ac:dyDescent="0.3">
      <c r="I2453" s="1"/>
      <c r="S2453" s="1"/>
    </row>
    <row r="2454" spans="9:19" x14ac:dyDescent="0.3">
      <c r="I2454" s="1"/>
      <c r="S2454" s="1"/>
    </row>
    <row r="2455" spans="9:19" x14ac:dyDescent="0.3">
      <c r="I2455" s="1"/>
      <c r="S2455" s="1"/>
    </row>
    <row r="2456" spans="9:19" x14ac:dyDescent="0.3">
      <c r="I2456" s="1"/>
      <c r="S2456" s="1"/>
    </row>
    <row r="2457" spans="9:19" x14ac:dyDescent="0.3">
      <c r="I2457" s="1"/>
      <c r="S2457" s="1"/>
    </row>
    <row r="2458" spans="9:19" x14ac:dyDescent="0.3">
      <c r="I2458" s="1"/>
      <c r="S2458" s="1"/>
    </row>
    <row r="2459" spans="9:19" x14ac:dyDescent="0.3">
      <c r="I2459" s="1"/>
      <c r="S2459" s="1"/>
    </row>
    <row r="2460" spans="9:19" x14ac:dyDescent="0.3">
      <c r="I2460" s="1"/>
      <c r="S2460" s="1"/>
    </row>
    <row r="2461" spans="9:19" x14ac:dyDescent="0.3">
      <c r="I2461" s="1"/>
      <c r="S2461" s="1"/>
    </row>
    <row r="2462" spans="9:19" x14ac:dyDescent="0.3">
      <c r="I2462" s="1"/>
      <c r="S2462" s="1"/>
    </row>
    <row r="2463" spans="9:19" x14ac:dyDescent="0.3">
      <c r="I2463" s="1"/>
      <c r="S2463" s="1"/>
    </row>
    <row r="2464" spans="9:19" x14ac:dyDescent="0.3">
      <c r="I2464" s="1"/>
      <c r="S2464" s="1"/>
    </row>
    <row r="2465" spans="9:19" x14ac:dyDescent="0.3">
      <c r="I2465" s="1"/>
      <c r="S2465" s="1"/>
    </row>
    <row r="2466" spans="9:19" x14ac:dyDescent="0.3">
      <c r="I2466" s="1"/>
      <c r="S2466" s="1"/>
    </row>
    <row r="2467" spans="9:19" x14ac:dyDescent="0.3">
      <c r="I2467" s="1"/>
      <c r="S2467" s="1"/>
    </row>
    <row r="2468" spans="9:19" x14ac:dyDescent="0.3">
      <c r="I2468" s="1"/>
      <c r="S2468" s="1"/>
    </row>
    <row r="2469" spans="9:19" x14ac:dyDescent="0.3">
      <c r="I2469" s="1"/>
      <c r="S2469" s="1"/>
    </row>
    <row r="2470" spans="9:19" x14ac:dyDescent="0.3">
      <c r="I2470" s="1"/>
      <c r="S2470" s="1"/>
    </row>
    <row r="2471" spans="9:19" x14ac:dyDescent="0.3">
      <c r="I2471" s="1"/>
      <c r="S2471" s="1"/>
    </row>
    <row r="2472" spans="9:19" x14ac:dyDescent="0.3">
      <c r="I2472" s="1"/>
      <c r="S2472" s="1"/>
    </row>
    <row r="2473" spans="9:19" x14ac:dyDescent="0.3">
      <c r="I2473" s="1"/>
      <c r="S2473" s="1"/>
    </row>
    <row r="2474" spans="9:19" x14ac:dyDescent="0.3">
      <c r="I2474" s="1"/>
      <c r="S2474" s="1"/>
    </row>
    <row r="2475" spans="9:19" x14ac:dyDescent="0.3">
      <c r="I2475" s="1"/>
      <c r="S2475" s="1"/>
    </row>
    <row r="2476" spans="9:19" x14ac:dyDescent="0.3">
      <c r="I2476" s="1"/>
      <c r="S2476" s="1"/>
    </row>
    <row r="2477" spans="9:19" x14ac:dyDescent="0.3">
      <c r="I2477" s="1"/>
      <c r="S2477" s="1"/>
    </row>
    <row r="2478" spans="9:19" x14ac:dyDescent="0.3">
      <c r="I2478" s="1"/>
      <c r="S2478" s="1"/>
    </row>
    <row r="2479" spans="9:19" x14ac:dyDescent="0.3">
      <c r="I2479" s="1"/>
      <c r="S2479" s="1"/>
    </row>
    <row r="2480" spans="9:19" x14ac:dyDescent="0.3">
      <c r="I2480" s="1"/>
      <c r="S2480" s="1"/>
    </row>
    <row r="2481" spans="9:19" x14ac:dyDescent="0.3">
      <c r="I2481" s="1"/>
      <c r="S2481" s="1"/>
    </row>
    <row r="2482" spans="9:19" x14ac:dyDescent="0.3">
      <c r="I2482" s="1"/>
      <c r="S2482" s="1"/>
    </row>
    <row r="2483" spans="9:19" x14ac:dyDescent="0.3">
      <c r="I2483" s="1"/>
      <c r="S2483" s="1"/>
    </row>
    <row r="2484" spans="9:19" x14ac:dyDescent="0.3">
      <c r="I2484" s="1"/>
      <c r="S2484" s="1"/>
    </row>
    <row r="2485" spans="9:19" x14ac:dyDescent="0.3">
      <c r="I2485" s="1"/>
      <c r="S2485" s="1"/>
    </row>
    <row r="2486" spans="9:19" x14ac:dyDescent="0.3">
      <c r="I2486" s="1"/>
      <c r="S2486" s="1"/>
    </row>
    <row r="2487" spans="9:19" x14ac:dyDescent="0.3">
      <c r="I2487" s="1"/>
      <c r="S2487" s="1"/>
    </row>
    <row r="2488" spans="9:19" x14ac:dyDescent="0.3">
      <c r="I2488" s="1"/>
      <c r="S2488" s="1"/>
    </row>
    <row r="2489" spans="9:19" x14ac:dyDescent="0.3">
      <c r="I2489" s="1"/>
      <c r="S2489" s="1"/>
    </row>
    <row r="2490" spans="9:19" x14ac:dyDescent="0.3">
      <c r="I2490" s="1"/>
      <c r="S2490" s="1"/>
    </row>
    <row r="2491" spans="9:19" x14ac:dyDescent="0.3">
      <c r="I2491" s="1"/>
      <c r="S2491" s="1"/>
    </row>
    <row r="2492" spans="9:19" x14ac:dyDescent="0.3">
      <c r="I2492" s="1"/>
      <c r="S2492" s="1"/>
    </row>
    <row r="2493" spans="9:19" x14ac:dyDescent="0.3">
      <c r="I2493" s="1"/>
      <c r="S2493" s="1"/>
    </row>
    <row r="2494" spans="9:19" x14ac:dyDescent="0.3">
      <c r="I2494" s="1"/>
      <c r="S2494" s="1"/>
    </row>
    <row r="2495" spans="9:19" x14ac:dyDescent="0.3">
      <c r="I2495" s="1"/>
      <c r="S2495" s="1"/>
    </row>
    <row r="2496" spans="9:19" x14ac:dyDescent="0.3">
      <c r="I2496" s="1"/>
      <c r="S2496" s="1"/>
    </row>
    <row r="2497" spans="9:19" x14ac:dyDescent="0.3">
      <c r="I2497" s="1"/>
      <c r="S2497" s="1"/>
    </row>
    <row r="2498" spans="9:19" x14ac:dyDescent="0.3">
      <c r="I2498" s="1"/>
      <c r="S2498" s="1"/>
    </row>
    <row r="2499" spans="9:19" x14ac:dyDescent="0.3">
      <c r="I2499" s="1"/>
      <c r="S2499" s="1"/>
    </row>
    <row r="2500" spans="9:19" x14ac:dyDescent="0.3">
      <c r="I2500" s="1"/>
      <c r="S2500" s="1"/>
    </row>
    <row r="2501" spans="9:19" x14ac:dyDescent="0.3">
      <c r="I2501" s="1"/>
      <c r="S2501" s="1"/>
    </row>
    <row r="2502" spans="9:19" x14ac:dyDescent="0.3">
      <c r="I2502" s="1"/>
      <c r="S2502" s="1"/>
    </row>
    <row r="2503" spans="9:19" x14ac:dyDescent="0.3">
      <c r="I2503" s="1"/>
      <c r="S2503" s="1"/>
    </row>
    <row r="2504" spans="9:19" x14ac:dyDescent="0.3">
      <c r="I2504" s="1"/>
      <c r="S2504" s="1"/>
    </row>
    <row r="2505" spans="9:19" x14ac:dyDescent="0.3">
      <c r="I2505" s="1"/>
      <c r="S2505" s="1"/>
    </row>
    <row r="2506" spans="9:19" x14ac:dyDescent="0.3">
      <c r="I2506" s="1"/>
      <c r="S2506" s="1"/>
    </row>
    <row r="2507" spans="9:19" x14ac:dyDescent="0.3">
      <c r="I2507" s="1"/>
      <c r="S2507" s="1"/>
    </row>
    <row r="2508" spans="9:19" x14ac:dyDescent="0.3">
      <c r="I2508" s="1"/>
      <c r="S2508" s="1"/>
    </row>
    <row r="2509" spans="9:19" x14ac:dyDescent="0.3">
      <c r="I2509" s="1"/>
      <c r="S2509" s="1"/>
    </row>
    <row r="2510" spans="9:19" x14ac:dyDescent="0.3">
      <c r="I2510" s="1"/>
      <c r="S2510" s="1"/>
    </row>
    <row r="2511" spans="9:19" x14ac:dyDescent="0.3">
      <c r="I2511" s="1"/>
      <c r="S2511" s="1"/>
    </row>
    <row r="2512" spans="9:19" x14ac:dyDescent="0.3">
      <c r="I2512" s="1"/>
      <c r="S2512" s="1"/>
    </row>
    <row r="2513" spans="9:19" x14ac:dyDescent="0.3">
      <c r="I2513" s="1"/>
      <c r="S2513" s="1"/>
    </row>
    <row r="2514" spans="9:19" x14ac:dyDescent="0.3">
      <c r="I2514" s="1"/>
      <c r="S2514" s="1"/>
    </row>
    <row r="2515" spans="9:19" x14ac:dyDescent="0.3">
      <c r="I2515" s="1"/>
      <c r="S2515" s="1"/>
    </row>
    <row r="2516" spans="9:19" x14ac:dyDescent="0.3">
      <c r="I2516" s="1"/>
      <c r="S2516" s="1"/>
    </row>
    <row r="2517" spans="9:19" x14ac:dyDescent="0.3">
      <c r="I2517" s="1"/>
      <c r="S2517" s="1"/>
    </row>
    <row r="2518" spans="9:19" x14ac:dyDescent="0.3">
      <c r="I2518" s="1"/>
      <c r="S2518" s="1"/>
    </row>
    <row r="2519" spans="9:19" x14ac:dyDescent="0.3">
      <c r="I2519" s="1"/>
      <c r="S2519" s="1"/>
    </row>
    <row r="2520" spans="9:19" x14ac:dyDescent="0.3">
      <c r="I2520" s="1"/>
      <c r="S2520" s="1"/>
    </row>
    <row r="2521" spans="9:19" x14ac:dyDescent="0.3">
      <c r="I2521" s="1"/>
      <c r="S2521" s="1"/>
    </row>
    <row r="2522" spans="9:19" x14ac:dyDescent="0.3">
      <c r="I2522" s="1"/>
      <c r="S2522" s="1"/>
    </row>
    <row r="2523" spans="9:19" x14ac:dyDescent="0.3">
      <c r="I2523" s="1"/>
      <c r="S2523" s="1"/>
    </row>
    <row r="2524" spans="9:19" x14ac:dyDescent="0.3">
      <c r="I2524" s="1"/>
      <c r="S2524" s="1"/>
    </row>
    <row r="2525" spans="9:19" x14ac:dyDescent="0.3">
      <c r="I2525" s="1"/>
      <c r="S2525" s="1"/>
    </row>
    <row r="2526" spans="9:19" x14ac:dyDescent="0.3">
      <c r="I2526" s="1"/>
      <c r="S2526" s="1"/>
    </row>
    <row r="2527" spans="9:19" x14ac:dyDescent="0.3">
      <c r="I2527" s="1"/>
      <c r="S2527" s="1"/>
    </row>
    <row r="2528" spans="9:19" x14ac:dyDescent="0.3">
      <c r="I2528" s="1"/>
      <c r="S2528" s="1"/>
    </row>
    <row r="2529" spans="9:19" x14ac:dyDescent="0.3">
      <c r="I2529" s="1"/>
      <c r="S2529" s="1"/>
    </row>
    <row r="2530" spans="9:19" x14ac:dyDescent="0.3">
      <c r="I2530" s="1"/>
      <c r="S2530" s="1"/>
    </row>
    <row r="2531" spans="9:19" x14ac:dyDescent="0.3">
      <c r="I2531" s="1"/>
      <c r="S2531" s="1"/>
    </row>
    <row r="2532" spans="9:19" x14ac:dyDescent="0.3">
      <c r="I2532" s="1"/>
      <c r="S2532" s="1"/>
    </row>
    <row r="2533" spans="9:19" x14ac:dyDescent="0.3">
      <c r="I2533" s="1"/>
      <c r="S2533" s="1"/>
    </row>
    <row r="2534" spans="9:19" x14ac:dyDescent="0.3">
      <c r="I2534" s="1"/>
      <c r="S2534" s="1"/>
    </row>
    <row r="2535" spans="9:19" x14ac:dyDescent="0.3">
      <c r="I2535" s="1"/>
      <c r="S2535" s="1"/>
    </row>
    <row r="2536" spans="9:19" x14ac:dyDescent="0.3">
      <c r="I2536" s="1"/>
      <c r="S2536" s="1"/>
    </row>
    <row r="2537" spans="9:19" x14ac:dyDescent="0.3">
      <c r="I2537" s="1"/>
      <c r="S2537" s="1"/>
    </row>
    <row r="2538" spans="9:19" x14ac:dyDescent="0.3">
      <c r="I2538" s="1"/>
      <c r="S2538" s="1"/>
    </row>
    <row r="2539" spans="9:19" x14ac:dyDescent="0.3">
      <c r="I2539" s="1"/>
      <c r="S2539" s="1"/>
    </row>
    <row r="2540" spans="9:19" x14ac:dyDescent="0.3">
      <c r="I2540" s="1"/>
      <c r="S2540" s="1"/>
    </row>
    <row r="2541" spans="9:19" x14ac:dyDescent="0.3">
      <c r="I2541" s="1"/>
      <c r="S2541" s="1"/>
    </row>
    <row r="2542" spans="9:19" x14ac:dyDescent="0.3">
      <c r="I2542" s="1"/>
      <c r="S2542" s="1"/>
    </row>
    <row r="2543" spans="9:19" x14ac:dyDescent="0.3">
      <c r="I2543" s="1"/>
      <c r="S2543" s="1"/>
    </row>
    <row r="2544" spans="9:19" x14ac:dyDescent="0.3">
      <c r="I2544" s="1"/>
      <c r="S2544" s="1"/>
    </row>
    <row r="2545" spans="9:19" x14ac:dyDescent="0.3">
      <c r="I2545" s="1"/>
      <c r="S2545" s="1"/>
    </row>
    <row r="2546" spans="9:19" x14ac:dyDescent="0.3">
      <c r="I2546" s="1"/>
      <c r="S2546" s="1"/>
    </row>
    <row r="2547" spans="9:19" x14ac:dyDescent="0.3">
      <c r="I2547" s="1"/>
      <c r="S2547" s="1"/>
    </row>
    <row r="2548" spans="9:19" x14ac:dyDescent="0.3">
      <c r="I2548" s="1"/>
      <c r="S2548" s="1"/>
    </row>
    <row r="2549" spans="9:19" x14ac:dyDescent="0.3">
      <c r="I2549" s="1"/>
      <c r="S2549" s="1"/>
    </row>
    <row r="2550" spans="9:19" x14ac:dyDescent="0.3">
      <c r="I2550" s="1"/>
      <c r="S2550" s="1"/>
    </row>
    <row r="2551" spans="9:19" x14ac:dyDescent="0.3">
      <c r="I2551" s="1"/>
      <c r="S2551" s="1"/>
    </row>
    <row r="2552" spans="9:19" x14ac:dyDescent="0.3">
      <c r="I2552" s="1"/>
      <c r="S2552" s="1"/>
    </row>
    <row r="2553" spans="9:19" x14ac:dyDescent="0.3">
      <c r="I2553" s="1"/>
      <c r="S2553" s="1"/>
    </row>
    <row r="2554" spans="9:19" x14ac:dyDescent="0.3">
      <c r="I2554" s="1"/>
      <c r="S2554" s="1"/>
    </row>
    <row r="2555" spans="9:19" x14ac:dyDescent="0.3">
      <c r="I2555" s="1"/>
      <c r="S2555" s="1"/>
    </row>
    <row r="2556" spans="9:19" x14ac:dyDescent="0.3">
      <c r="I2556" s="1"/>
      <c r="S2556" s="1"/>
    </row>
    <row r="2557" spans="9:19" x14ac:dyDescent="0.3">
      <c r="I2557" s="1"/>
      <c r="S2557" s="1"/>
    </row>
    <row r="2558" spans="9:19" x14ac:dyDescent="0.3">
      <c r="I2558" s="1"/>
      <c r="S2558" s="1"/>
    </row>
    <row r="2559" spans="9:19" x14ac:dyDescent="0.3">
      <c r="I2559" s="1"/>
      <c r="S2559" s="1"/>
    </row>
    <row r="2560" spans="9:19" x14ac:dyDescent="0.3">
      <c r="I2560" s="1"/>
      <c r="S2560" s="1"/>
    </row>
    <row r="2561" spans="9:19" x14ac:dyDescent="0.3">
      <c r="I2561" s="1"/>
      <c r="S2561" s="1"/>
    </row>
    <row r="2562" spans="9:19" x14ac:dyDescent="0.3">
      <c r="I2562" s="1"/>
      <c r="S2562" s="1"/>
    </row>
    <row r="2563" spans="9:19" x14ac:dyDescent="0.3">
      <c r="I2563" s="1"/>
      <c r="S2563" s="1"/>
    </row>
    <row r="2564" spans="9:19" x14ac:dyDescent="0.3">
      <c r="I2564" s="1"/>
      <c r="S2564" s="1"/>
    </row>
    <row r="2565" spans="9:19" x14ac:dyDescent="0.3">
      <c r="I2565" s="1"/>
      <c r="S2565" s="1"/>
    </row>
    <row r="2566" spans="9:19" x14ac:dyDescent="0.3">
      <c r="I2566" s="1"/>
      <c r="S2566" s="1"/>
    </row>
    <row r="2567" spans="9:19" x14ac:dyDescent="0.3">
      <c r="I2567" s="1"/>
      <c r="S2567" s="1"/>
    </row>
    <row r="2568" spans="9:19" x14ac:dyDescent="0.3">
      <c r="I2568" s="1"/>
      <c r="S2568" s="1"/>
    </row>
    <row r="2569" spans="9:19" x14ac:dyDescent="0.3">
      <c r="I2569" s="1"/>
      <c r="S2569" s="1"/>
    </row>
    <row r="2570" spans="9:19" x14ac:dyDescent="0.3">
      <c r="I2570" s="1"/>
      <c r="S2570" s="1"/>
    </row>
    <row r="2571" spans="9:19" x14ac:dyDescent="0.3">
      <c r="I2571" s="1"/>
      <c r="S2571" s="1"/>
    </row>
    <row r="2572" spans="9:19" x14ac:dyDescent="0.3">
      <c r="I2572" s="1"/>
      <c r="S2572" s="1"/>
    </row>
    <row r="2573" spans="9:19" x14ac:dyDescent="0.3">
      <c r="I2573" s="1"/>
      <c r="S2573" s="1"/>
    </row>
    <row r="2574" spans="9:19" x14ac:dyDescent="0.3">
      <c r="I2574" s="1"/>
      <c r="S2574" s="1"/>
    </row>
    <row r="2575" spans="9:19" x14ac:dyDescent="0.3">
      <c r="I2575" s="1"/>
      <c r="S2575" s="1"/>
    </row>
    <row r="2576" spans="9:19" x14ac:dyDescent="0.3">
      <c r="I2576" s="1"/>
      <c r="S2576" s="1"/>
    </row>
    <row r="2577" spans="9:19" x14ac:dyDescent="0.3">
      <c r="I2577" s="1"/>
      <c r="S2577" s="1"/>
    </row>
    <row r="2578" spans="9:19" x14ac:dyDescent="0.3">
      <c r="I2578" s="1"/>
      <c r="S2578" s="1"/>
    </row>
    <row r="2579" spans="9:19" x14ac:dyDescent="0.3">
      <c r="I2579" s="1"/>
      <c r="S2579" s="1"/>
    </row>
    <row r="2580" spans="9:19" x14ac:dyDescent="0.3">
      <c r="I2580" s="1"/>
      <c r="S2580" s="1"/>
    </row>
    <row r="2581" spans="9:19" x14ac:dyDescent="0.3">
      <c r="I2581" s="1"/>
      <c r="S2581" s="1"/>
    </row>
    <row r="2582" spans="9:19" x14ac:dyDescent="0.3">
      <c r="I2582" s="1"/>
      <c r="S2582" s="1"/>
    </row>
    <row r="2583" spans="9:19" x14ac:dyDescent="0.3">
      <c r="I2583" s="1"/>
      <c r="S2583" s="1"/>
    </row>
    <row r="2584" spans="9:19" x14ac:dyDescent="0.3">
      <c r="I2584" s="1"/>
      <c r="S2584" s="1"/>
    </row>
    <row r="2585" spans="9:19" x14ac:dyDescent="0.3">
      <c r="I2585" s="1"/>
      <c r="S2585" s="1"/>
    </row>
    <row r="2586" spans="9:19" x14ac:dyDescent="0.3">
      <c r="I2586" s="1"/>
      <c r="S2586" s="1"/>
    </row>
    <row r="2587" spans="9:19" x14ac:dyDescent="0.3">
      <c r="I2587" s="1"/>
      <c r="S2587" s="1"/>
    </row>
    <row r="2588" spans="9:19" x14ac:dyDescent="0.3">
      <c r="I2588" s="1"/>
      <c r="S2588" s="1"/>
    </row>
    <row r="2589" spans="9:19" x14ac:dyDescent="0.3">
      <c r="I2589" s="1"/>
      <c r="S2589" s="1"/>
    </row>
    <row r="2590" spans="9:19" x14ac:dyDescent="0.3">
      <c r="I2590" s="1"/>
      <c r="S2590" s="1"/>
    </row>
    <row r="2591" spans="9:19" x14ac:dyDescent="0.3">
      <c r="I2591" s="1"/>
      <c r="S2591" s="1"/>
    </row>
    <row r="2592" spans="9:19" x14ac:dyDescent="0.3">
      <c r="I2592" s="1"/>
      <c r="S2592" s="1"/>
    </row>
    <row r="2593" spans="9:19" x14ac:dyDescent="0.3">
      <c r="I2593" s="1"/>
      <c r="S2593" s="1"/>
    </row>
    <row r="2594" spans="9:19" x14ac:dyDescent="0.3">
      <c r="I2594" s="1"/>
      <c r="S2594" s="1"/>
    </row>
    <row r="2595" spans="9:19" x14ac:dyDescent="0.3">
      <c r="I2595" s="1"/>
      <c r="S2595" s="1"/>
    </row>
    <row r="2596" spans="9:19" x14ac:dyDescent="0.3">
      <c r="I2596" s="1"/>
      <c r="S2596" s="1"/>
    </row>
    <row r="2597" spans="9:19" x14ac:dyDescent="0.3">
      <c r="I2597" s="1"/>
      <c r="S2597" s="1"/>
    </row>
    <row r="2598" spans="9:19" x14ac:dyDescent="0.3">
      <c r="I2598" s="1"/>
      <c r="S2598" s="1"/>
    </row>
    <row r="2599" spans="9:19" x14ac:dyDescent="0.3">
      <c r="I2599" s="1"/>
      <c r="S2599" s="1"/>
    </row>
    <row r="2600" spans="9:19" x14ac:dyDescent="0.3">
      <c r="I2600" s="1"/>
      <c r="S2600" s="1"/>
    </row>
    <row r="2601" spans="9:19" x14ac:dyDescent="0.3">
      <c r="I2601" s="1"/>
      <c r="S2601" s="1"/>
    </row>
    <row r="2602" spans="9:19" x14ac:dyDescent="0.3">
      <c r="I2602" s="1"/>
      <c r="S2602" s="1"/>
    </row>
    <row r="2603" spans="9:19" x14ac:dyDescent="0.3">
      <c r="I2603" s="1"/>
      <c r="S2603" s="1"/>
    </row>
    <row r="2604" spans="9:19" x14ac:dyDescent="0.3">
      <c r="I2604" s="1"/>
      <c r="S2604" s="1"/>
    </row>
    <row r="2605" spans="9:19" x14ac:dyDescent="0.3">
      <c r="I2605" s="1"/>
      <c r="S2605" s="1"/>
    </row>
    <row r="2606" spans="9:19" x14ac:dyDescent="0.3">
      <c r="I2606" s="1"/>
      <c r="S2606" s="1"/>
    </row>
    <row r="2607" spans="9:19" x14ac:dyDescent="0.3">
      <c r="I2607" s="1"/>
      <c r="S2607" s="1"/>
    </row>
    <row r="2608" spans="9:19" x14ac:dyDescent="0.3">
      <c r="I2608" s="1"/>
      <c r="S2608" s="1"/>
    </row>
    <row r="2609" spans="9:19" x14ac:dyDescent="0.3">
      <c r="I2609" s="1"/>
      <c r="S2609" s="1"/>
    </row>
    <row r="2610" spans="9:19" x14ac:dyDescent="0.3">
      <c r="I2610" s="1"/>
      <c r="S2610" s="1"/>
    </row>
    <row r="2611" spans="9:19" x14ac:dyDescent="0.3">
      <c r="I2611" s="1"/>
      <c r="S2611" s="1"/>
    </row>
    <row r="2612" spans="9:19" x14ac:dyDescent="0.3">
      <c r="I2612" s="1"/>
      <c r="S2612" s="1"/>
    </row>
    <row r="2613" spans="9:19" x14ac:dyDescent="0.3">
      <c r="I2613" s="1"/>
      <c r="S2613" s="1"/>
    </row>
    <row r="2614" spans="9:19" x14ac:dyDescent="0.3">
      <c r="I2614" s="1"/>
      <c r="S2614" s="1"/>
    </row>
    <row r="2615" spans="9:19" x14ac:dyDescent="0.3">
      <c r="I2615" s="1"/>
      <c r="S2615" s="1"/>
    </row>
    <row r="2616" spans="9:19" x14ac:dyDescent="0.3">
      <c r="I2616" s="1"/>
      <c r="S2616" s="1"/>
    </row>
    <row r="2617" spans="9:19" x14ac:dyDescent="0.3">
      <c r="I2617" s="1"/>
      <c r="S2617" s="1"/>
    </row>
    <row r="2618" spans="9:19" x14ac:dyDescent="0.3">
      <c r="I2618" s="1"/>
      <c r="S2618" s="1"/>
    </row>
    <row r="2619" spans="9:19" x14ac:dyDescent="0.3">
      <c r="I2619" s="1"/>
      <c r="S2619" s="1"/>
    </row>
    <row r="2620" spans="9:19" x14ac:dyDescent="0.3">
      <c r="I2620" s="1"/>
      <c r="S2620" s="1"/>
    </row>
    <row r="2621" spans="9:19" x14ac:dyDescent="0.3">
      <c r="I2621" s="1"/>
      <c r="S2621" s="1"/>
    </row>
    <row r="2622" spans="9:19" x14ac:dyDescent="0.3">
      <c r="I2622" s="1"/>
      <c r="S2622" s="1"/>
    </row>
    <row r="2623" spans="9:19" x14ac:dyDescent="0.3">
      <c r="I2623" s="1"/>
      <c r="S2623" s="1"/>
    </row>
    <row r="2624" spans="9:19" x14ac:dyDescent="0.3">
      <c r="I2624" s="1"/>
      <c r="S2624" s="1"/>
    </row>
    <row r="2625" spans="9:19" x14ac:dyDescent="0.3">
      <c r="I2625" s="1"/>
      <c r="S2625" s="1"/>
    </row>
    <row r="2626" spans="9:19" x14ac:dyDescent="0.3">
      <c r="I2626" s="1"/>
      <c r="S2626" s="1"/>
    </row>
    <row r="2627" spans="9:19" x14ac:dyDescent="0.3">
      <c r="I2627" s="1"/>
      <c r="S2627" s="1"/>
    </row>
    <row r="2628" spans="9:19" x14ac:dyDescent="0.3">
      <c r="I2628" s="1"/>
      <c r="S2628" s="1"/>
    </row>
    <row r="2629" spans="9:19" x14ac:dyDescent="0.3">
      <c r="I2629" s="1"/>
      <c r="S2629" s="1"/>
    </row>
    <row r="2630" spans="9:19" x14ac:dyDescent="0.3">
      <c r="I2630" s="1"/>
      <c r="S2630" s="1"/>
    </row>
    <row r="2631" spans="9:19" x14ac:dyDescent="0.3">
      <c r="I2631" s="1"/>
      <c r="S2631" s="1"/>
    </row>
    <row r="2632" spans="9:19" x14ac:dyDescent="0.3">
      <c r="I2632" s="1"/>
      <c r="S2632" s="1"/>
    </row>
    <row r="2633" spans="9:19" x14ac:dyDescent="0.3">
      <c r="I2633" s="1"/>
      <c r="S2633" s="1"/>
    </row>
    <row r="2634" spans="9:19" x14ac:dyDescent="0.3">
      <c r="I2634" s="1"/>
      <c r="S2634" s="1"/>
    </row>
    <row r="2635" spans="9:19" x14ac:dyDescent="0.3">
      <c r="I2635" s="1"/>
      <c r="S2635" s="1"/>
    </row>
    <row r="2636" spans="9:19" x14ac:dyDescent="0.3">
      <c r="I2636" s="1"/>
      <c r="S2636" s="1"/>
    </row>
    <row r="2637" spans="9:19" x14ac:dyDescent="0.3">
      <c r="I2637" s="1"/>
      <c r="S2637" s="1"/>
    </row>
    <row r="2638" spans="9:19" x14ac:dyDescent="0.3">
      <c r="I2638" s="1"/>
      <c r="S2638" s="1"/>
    </row>
    <row r="2639" spans="9:19" x14ac:dyDescent="0.3">
      <c r="I2639" s="1"/>
      <c r="S2639" s="1"/>
    </row>
    <row r="2640" spans="9:19" x14ac:dyDescent="0.3">
      <c r="I2640" s="1"/>
      <c r="S2640" s="1"/>
    </row>
    <row r="2641" spans="9:19" x14ac:dyDescent="0.3">
      <c r="I2641" s="1"/>
      <c r="S2641" s="1"/>
    </row>
    <row r="2642" spans="9:19" x14ac:dyDescent="0.3">
      <c r="I2642" s="1"/>
      <c r="S2642" s="1"/>
    </row>
    <row r="2643" spans="9:19" x14ac:dyDescent="0.3">
      <c r="I2643" s="1"/>
      <c r="S2643" s="1"/>
    </row>
    <row r="2644" spans="9:19" x14ac:dyDescent="0.3">
      <c r="I2644" s="1"/>
      <c r="S2644" s="1"/>
    </row>
    <row r="2645" spans="9:19" x14ac:dyDescent="0.3">
      <c r="I2645" s="1"/>
      <c r="S2645" s="1"/>
    </row>
    <row r="2646" spans="9:19" x14ac:dyDescent="0.3">
      <c r="I2646" s="1"/>
      <c r="S2646" s="1"/>
    </row>
    <row r="2647" spans="9:19" x14ac:dyDescent="0.3">
      <c r="I2647" s="1"/>
      <c r="S2647" s="1"/>
    </row>
    <row r="2648" spans="9:19" x14ac:dyDescent="0.3">
      <c r="I2648" s="1"/>
      <c r="S2648" s="1"/>
    </row>
    <row r="2649" spans="9:19" x14ac:dyDescent="0.3">
      <c r="I2649" s="1"/>
      <c r="S2649" s="1"/>
    </row>
    <row r="2650" spans="9:19" x14ac:dyDescent="0.3">
      <c r="I2650" s="1"/>
      <c r="S2650" s="1"/>
    </row>
    <row r="2651" spans="9:19" x14ac:dyDescent="0.3">
      <c r="I2651" s="1"/>
      <c r="S2651" s="1"/>
    </row>
    <row r="2652" spans="9:19" x14ac:dyDescent="0.3">
      <c r="I2652" s="1"/>
      <c r="S2652" s="1"/>
    </row>
    <row r="2653" spans="9:19" x14ac:dyDescent="0.3">
      <c r="I2653" s="1"/>
      <c r="S2653" s="1"/>
    </row>
    <row r="2654" spans="9:19" x14ac:dyDescent="0.3">
      <c r="I2654" s="1"/>
      <c r="S2654" s="1"/>
    </row>
    <row r="2655" spans="9:19" x14ac:dyDescent="0.3">
      <c r="I2655" s="1"/>
      <c r="S2655" s="1"/>
    </row>
    <row r="2656" spans="9:19" x14ac:dyDescent="0.3">
      <c r="I2656" s="1"/>
      <c r="S2656" s="1"/>
    </row>
    <row r="2657" spans="9:19" x14ac:dyDescent="0.3">
      <c r="I2657" s="1"/>
      <c r="S2657" s="1"/>
    </row>
    <row r="2658" spans="9:19" x14ac:dyDescent="0.3">
      <c r="I2658" s="1"/>
      <c r="S2658" s="1"/>
    </row>
    <row r="2659" spans="9:19" x14ac:dyDescent="0.3">
      <c r="I2659" s="1"/>
      <c r="S2659" s="1"/>
    </row>
    <row r="2660" spans="9:19" x14ac:dyDescent="0.3">
      <c r="I2660" s="1"/>
      <c r="S2660" s="1"/>
    </row>
    <row r="2661" spans="9:19" x14ac:dyDescent="0.3">
      <c r="I2661" s="1"/>
      <c r="S2661" s="1"/>
    </row>
    <row r="2662" spans="9:19" x14ac:dyDescent="0.3">
      <c r="I2662" s="1"/>
      <c r="S2662" s="1"/>
    </row>
    <row r="2663" spans="9:19" x14ac:dyDescent="0.3">
      <c r="I2663" s="1"/>
      <c r="S2663" s="1"/>
    </row>
    <row r="2664" spans="9:19" x14ac:dyDescent="0.3">
      <c r="I2664" s="1"/>
      <c r="S2664" s="1"/>
    </row>
    <row r="2665" spans="9:19" x14ac:dyDescent="0.3">
      <c r="I2665" s="1"/>
      <c r="S2665" s="1"/>
    </row>
    <row r="2666" spans="9:19" x14ac:dyDescent="0.3">
      <c r="I2666" s="1"/>
      <c r="S2666" s="1"/>
    </row>
    <row r="2667" spans="9:19" x14ac:dyDescent="0.3">
      <c r="I2667" s="1"/>
      <c r="S2667" s="1"/>
    </row>
    <row r="2668" spans="9:19" x14ac:dyDescent="0.3">
      <c r="I2668" s="1"/>
      <c r="S2668" s="1"/>
    </row>
    <row r="2669" spans="9:19" x14ac:dyDescent="0.3">
      <c r="I2669" s="1"/>
      <c r="S2669" s="1"/>
    </row>
    <row r="2670" spans="9:19" x14ac:dyDescent="0.3">
      <c r="I2670" s="1"/>
      <c r="S2670" s="1"/>
    </row>
    <row r="2671" spans="9:19" x14ac:dyDescent="0.3">
      <c r="I2671" s="1"/>
      <c r="S2671" s="1"/>
    </row>
    <row r="2672" spans="9:19" x14ac:dyDescent="0.3">
      <c r="I2672" s="1"/>
      <c r="S2672" s="1"/>
    </row>
    <row r="2673" spans="9:19" x14ac:dyDescent="0.3">
      <c r="I2673" s="1"/>
      <c r="S2673" s="1"/>
    </row>
    <row r="2674" spans="9:19" x14ac:dyDescent="0.3">
      <c r="I2674" s="1"/>
      <c r="S2674" s="1"/>
    </row>
    <row r="2675" spans="9:19" x14ac:dyDescent="0.3">
      <c r="I2675" s="1"/>
      <c r="S2675" s="1"/>
    </row>
    <row r="2676" spans="9:19" x14ac:dyDescent="0.3">
      <c r="I2676" s="1"/>
      <c r="S2676" s="1"/>
    </row>
    <row r="2677" spans="9:19" x14ac:dyDescent="0.3">
      <c r="I2677" s="1"/>
      <c r="S2677" s="1"/>
    </row>
    <row r="2678" spans="9:19" x14ac:dyDescent="0.3">
      <c r="I2678" s="1"/>
      <c r="S2678" s="1"/>
    </row>
    <row r="2679" spans="9:19" x14ac:dyDescent="0.3">
      <c r="I2679" s="1"/>
      <c r="S2679" s="1"/>
    </row>
    <row r="2680" spans="9:19" x14ac:dyDescent="0.3">
      <c r="I2680" s="1"/>
      <c r="S2680" s="1"/>
    </row>
    <row r="2681" spans="9:19" x14ac:dyDescent="0.3">
      <c r="I2681" s="1"/>
      <c r="S2681" s="1"/>
    </row>
    <row r="2682" spans="9:19" x14ac:dyDescent="0.3">
      <c r="I2682" s="1"/>
      <c r="S2682" s="1"/>
    </row>
    <row r="2683" spans="9:19" x14ac:dyDescent="0.3">
      <c r="I2683" s="1"/>
      <c r="S2683" s="1"/>
    </row>
    <row r="2684" spans="9:19" x14ac:dyDescent="0.3">
      <c r="I2684" s="1"/>
      <c r="S2684" s="1"/>
    </row>
    <row r="2685" spans="9:19" x14ac:dyDescent="0.3">
      <c r="I2685" s="1"/>
      <c r="S2685" s="1"/>
    </row>
    <row r="2686" spans="9:19" x14ac:dyDescent="0.3">
      <c r="I2686" s="1"/>
      <c r="S2686" s="1"/>
    </row>
    <row r="2687" spans="9:19" x14ac:dyDescent="0.3">
      <c r="I2687" s="1"/>
      <c r="S2687" s="1"/>
    </row>
    <row r="2688" spans="9:19" x14ac:dyDescent="0.3">
      <c r="I2688" s="1"/>
      <c r="S2688" s="1"/>
    </row>
    <row r="2689" spans="9:19" x14ac:dyDescent="0.3">
      <c r="I2689" s="1"/>
      <c r="S2689" s="1"/>
    </row>
    <row r="2690" spans="9:19" x14ac:dyDescent="0.3">
      <c r="I2690" s="1"/>
      <c r="S2690" s="1"/>
    </row>
    <row r="2691" spans="9:19" x14ac:dyDescent="0.3">
      <c r="I2691" s="1"/>
      <c r="S2691" s="1"/>
    </row>
    <row r="2692" spans="9:19" x14ac:dyDescent="0.3">
      <c r="I2692" s="1"/>
      <c r="S2692" s="1"/>
    </row>
    <row r="2693" spans="9:19" x14ac:dyDescent="0.3">
      <c r="I2693" s="1"/>
      <c r="S2693" s="1"/>
    </row>
    <row r="2694" spans="9:19" x14ac:dyDescent="0.3">
      <c r="I2694" s="1"/>
      <c r="S2694" s="1"/>
    </row>
    <row r="2695" spans="9:19" x14ac:dyDescent="0.3">
      <c r="I2695" s="1"/>
      <c r="S2695" s="1"/>
    </row>
    <row r="2696" spans="9:19" x14ac:dyDescent="0.3">
      <c r="I2696" s="1"/>
      <c r="S2696" s="1"/>
    </row>
    <row r="2697" spans="9:19" x14ac:dyDescent="0.3">
      <c r="I2697" s="1"/>
      <c r="S2697" s="1"/>
    </row>
    <row r="2698" spans="9:19" x14ac:dyDescent="0.3">
      <c r="I2698" s="1"/>
      <c r="S2698" s="1"/>
    </row>
    <row r="2699" spans="9:19" x14ac:dyDescent="0.3">
      <c r="I2699" s="1"/>
      <c r="S2699" s="1"/>
    </row>
    <row r="2700" spans="9:19" x14ac:dyDescent="0.3">
      <c r="I2700" s="1"/>
      <c r="S2700" s="1"/>
    </row>
    <row r="2701" spans="9:19" x14ac:dyDescent="0.3">
      <c r="I2701" s="1"/>
      <c r="S2701" s="1"/>
    </row>
    <row r="2702" spans="9:19" x14ac:dyDescent="0.3">
      <c r="I2702" s="1"/>
      <c r="S2702" s="1"/>
    </row>
    <row r="2703" spans="9:19" x14ac:dyDescent="0.3">
      <c r="I2703" s="1"/>
      <c r="S2703" s="1"/>
    </row>
    <row r="2704" spans="9:19" x14ac:dyDescent="0.3">
      <c r="I2704" s="1"/>
      <c r="S2704" s="1"/>
    </row>
    <row r="2705" spans="9:19" x14ac:dyDescent="0.3">
      <c r="I2705" s="1"/>
      <c r="S2705" s="1"/>
    </row>
    <row r="2706" spans="9:19" x14ac:dyDescent="0.3">
      <c r="I2706" s="1"/>
      <c r="S2706" s="1"/>
    </row>
    <row r="2707" spans="9:19" x14ac:dyDescent="0.3">
      <c r="I2707" s="1"/>
      <c r="S2707" s="1"/>
    </row>
    <row r="2708" spans="9:19" x14ac:dyDescent="0.3">
      <c r="I2708" s="1"/>
      <c r="S2708" s="1"/>
    </row>
    <row r="2709" spans="9:19" x14ac:dyDescent="0.3">
      <c r="I2709" s="1"/>
      <c r="S2709" s="1"/>
    </row>
    <row r="2710" spans="9:19" x14ac:dyDescent="0.3">
      <c r="I2710" s="1"/>
      <c r="S2710" s="1"/>
    </row>
    <row r="2711" spans="9:19" x14ac:dyDescent="0.3">
      <c r="I2711" s="1"/>
      <c r="S2711" s="1"/>
    </row>
    <row r="2712" spans="9:19" x14ac:dyDescent="0.3">
      <c r="I2712" s="1"/>
      <c r="S2712" s="1"/>
    </row>
    <row r="2713" spans="9:19" x14ac:dyDescent="0.3">
      <c r="I2713" s="1"/>
      <c r="S2713" s="1"/>
    </row>
    <row r="2714" spans="9:19" x14ac:dyDescent="0.3">
      <c r="I2714" s="1"/>
      <c r="S2714" s="1"/>
    </row>
    <row r="2715" spans="9:19" x14ac:dyDescent="0.3">
      <c r="I2715" s="1"/>
      <c r="S2715" s="1"/>
    </row>
    <row r="2716" spans="9:19" x14ac:dyDescent="0.3">
      <c r="I2716" s="1"/>
      <c r="S2716" s="1"/>
    </row>
    <row r="2717" spans="9:19" x14ac:dyDescent="0.3">
      <c r="I2717" s="1"/>
      <c r="S2717" s="1"/>
    </row>
    <row r="2718" spans="9:19" x14ac:dyDescent="0.3">
      <c r="I2718" s="1"/>
      <c r="S2718" s="1"/>
    </row>
    <row r="2719" spans="9:19" x14ac:dyDescent="0.3">
      <c r="I2719" s="1"/>
      <c r="S2719" s="1"/>
    </row>
    <row r="2720" spans="9:19" x14ac:dyDescent="0.3">
      <c r="I2720" s="1"/>
      <c r="S2720" s="1"/>
    </row>
    <row r="2721" spans="9:19" x14ac:dyDescent="0.3">
      <c r="I2721" s="1"/>
      <c r="S2721" s="1"/>
    </row>
    <row r="2722" spans="9:19" x14ac:dyDescent="0.3">
      <c r="I2722" s="1"/>
      <c r="S2722" s="1"/>
    </row>
    <row r="2723" spans="9:19" x14ac:dyDescent="0.3">
      <c r="I2723" s="1"/>
      <c r="S2723" s="1"/>
    </row>
    <row r="2724" spans="9:19" x14ac:dyDescent="0.3">
      <c r="I2724" s="1"/>
      <c r="S2724" s="1"/>
    </row>
    <row r="2725" spans="9:19" x14ac:dyDescent="0.3">
      <c r="I2725" s="1"/>
      <c r="S2725" s="1"/>
    </row>
    <row r="2726" spans="9:19" x14ac:dyDescent="0.3">
      <c r="I2726" s="1"/>
      <c r="S2726" s="1"/>
    </row>
    <row r="2727" spans="9:19" x14ac:dyDescent="0.3">
      <c r="I2727" s="1"/>
      <c r="S2727" s="1"/>
    </row>
    <row r="2728" spans="9:19" x14ac:dyDescent="0.3">
      <c r="I2728" s="1"/>
      <c r="S2728" s="1"/>
    </row>
    <row r="2729" spans="9:19" x14ac:dyDescent="0.3">
      <c r="I2729" s="1"/>
      <c r="S2729" s="1"/>
    </row>
    <row r="2730" spans="9:19" x14ac:dyDescent="0.3">
      <c r="I2730" s="1"/>
      <c r="S2730" s="1"/>
    </row>
    <row r="2731" spans="9:19" x14ac:dyDescent="0.3">
      <c r="I2731" s="1"/>
      <c r="S2731" s="1"/>
    </row>
    <row r="2732" spans="9:19" x14ac:dyDescent="0.3">
      <c r="I2732" s="1"/>
      <c r="S2732" s="1"/>
    </row>
    <row r="2733" spans="9:19" x14ac:dyDescent="0.3">
      <c r="I2733" s="1"/>
      <c r="S2733" s="1"/>
    </row>
    <row r="2734" spans="9:19" x14ac:dyDescent="0.3">
      <c r="I2734" s="1"/>
      <c r="S2734" s="1"/>
    </row>
    <row r="2735" spans="9:19" x14ac:dyDescent="0.3">
      <c r="I2735" s="1"/>
      <c r="S2735" s="1"/>
    </row>
    <row r="2736" spans="9:19" x14ac:dyDescent="0.3">
      <c r="I2736" s="1"/>
      <c r="S2736" s="1"/>
    </row>
    <row r="2737" spans="9:19" x14ac:dyDescent="0.3">
      <c r="I2737" s="1"/>
      <c r="S2737" s="1"/>
    </row>
    <row r="2738" spans="9:19" x14ac:dyDescent="0.3">
      <c r="I2738" s="1"/>
      <c r="S2738" s="1"/>
    </row>
    <row r="2739" spans="9:19" x14ac:dyDescent="0.3">
      <c r="I2739" s="1"/>
      <c r="S2739" s="1"/>
    </row>
    <row r="2740" spans="9:19" x14ac:dyDescent="0.3">
      <c r="I2740" s="1"/>
      <c r="S2740" s="1"/>
    </row>
    <row r="2741" spans="9:19" x14ac:dyDescent="0.3">
      <c r="I2741" s="1"/>
      <c r="S2741" s="1"/>
    </row>
    <row r="2742" spans="9:19" x14ac:dyDescent="0.3">
      <c r="I2742" s="1"/>
      <c r="S2742" s="1"/>
    </row>
    <row r="2743" spans="9:19" x14ac:dyDescent="0.3">
      <c r="I2743" s="1"/>
      <c r="S2743" s="1"/>
    </row>
    <row r="2744" spans="9:19" x14ac:dyDescent="0.3">
      <c r="I2744" s="1"/>
      <c r="S2744" s="1"/>
    </row>
    <row r="2745" spans="9:19" x14ac:dyDescent="0.3">
      <c r="I2745" s="1"/>
      <c r="S2745" s="1"/>
    </row>
    <row r="2746" spans="9:19" x14ac:dyDescent="0.3">
      <c r="I2746" s="1"/>
      <c r="S2746" s="1"/>
    </row>
    <row r="2747" spans="9:19" x14ac:dyDescent="0.3">
      <c r="I2747" s="1"/>
      <c r="S2747" s="1"/>
    </row>
    <row r="2748" spans="9:19" x14ac:dyDescent="0.3">
      <c r="I2748" s="1"/>
      <c r="S2748" s="1"/>
    </row>
    <row r="2749" spans="9:19" x14ac:dyDescent="0.3">
      <c r="I2749" s="1"/>
      <c r="S2749" s="1"/>
    </row>
    <row r="2750" spans="9:19" x14ac:dyDescent="0.3">
      <c r="I2750" s="1"/>
      <c r="S2750" s="1"/>
    </row>
    <row r="2751" spans="9:19" x14ac:dyDescent="0.3">
      <c r="I2751" s="1"/>
      <c r="S2751" s="1"/>
    </row>
    <row r="2752" spans="9:19" x14ac:dyDescent="0.3">
      <c r="I2752" s="1"/>
      <c r="S2752" s="1"/>
    </row>
    <row r="2753" spans="9:19" x14ac:dyDescent="0.3">
      <c r="I2753" s="1"/>
      <c r="S2753" s="1"/>
    </row>
    <row r="2754" spans="9:19" x14ac:dyDescent="0.3">
      <c r="I2754" s="1"/>
      <c r="S2754" s="1"/>
    </row>
    <row r="2755" spans="9:19" x14ac:dyDescent="0.3">
      <c r="I2755" s="1"/>
      <c r="S2755" s="1"/>
    </row>
    <row r="2756" spans="9:19" x14ac:dyDescent="0.3">
      <c r="I2756" s="1"/>
      <c r="S2756" s="1"/>
    </row>
    <row r="2757" spans="9:19" x14ac:dyDescent="0.3">
      <c r="I2757" s="1"/>
      <c r="S2757" s="1"/>
    </row>
    <row r="2758" spans="9:19" x14ac:dyDescent="0.3">
      <c r="I2758" s="1"/>
      <c r="S2758" s="1"/>
    </row>
    <row r="2759" spans="9:19" x14ac:dyDescent="0.3">
      <c r="I2759" s="1"/>
      <c r="S2759" s="1"/>
    </row>
    <row r="2760" spans="9:19" x14ac:dyDescent="0.3">
      <c r="I2760" s="1"/>
      <c r="S2760" s="1"/>
    </row>
    <row r="2761" spans="9:19" x14ac:dyDescent="0.3">
      <c r="I2761" s="1"/>
      <c r="S2761" s="1"/>
    </row>
    <row r="2762" spans="9:19" x14ac:dyDescent="0.3">
      <c r="I2762" s="1"/>
      <c r="S2762" s="1"/>
    </row>
    <row r="2763" spans="9:19" x14ac:dyDescent="0.3">
      <c r="I2763" s="1"/>
      <c r="S2763" s="1"/>
    </row>
    <row r="2764" spans="9:19" x14ac:dyDescent="0.3">
      <c r="I2764" s="1"/>
      <c r="S2764" s="1"/>
    </row>
    <row r="2765" spans="9:19" x14ac:dyDescent="0.3">
      <c r="I2765" s="1"/>
      <c r="S2765" s="1"/>
    </row>
    <row r="2766" spans="9:19" x14ac:dyDescent="0.3">
      <c r="I2766" s="1"/>
      <c r="S2766" s="1"/>
    </row>
    <row r="2767" spans="9:19" x14ac:dyDescent="0.3">
      <c r="I2767" s="1"/>
      <c r="S2767" s="1"/>
    </row>
    <row r="2768" spans="9:19" x14ac:dyDescent="0.3">
      <c r="I2768" s="1"/>
      <c r="S2768" s="1"/>
    </row>
    <row r="2769" spans="9:19" x14ac:dyDescent="0.3">
      <c r="I2769" s="1"/>
      <c r="S2769" s="1"/>
    </row>
    <row r="2770" spans="9:19" x14ac:dyDescent="0.3">
      <c r="I2770" s="1"/>
      <c r="S2770" s="1"/>
    </row>
    <row r="2771" spans="9:19" x14ac:dyDescent="0.3">
      <c r="I2771" s="1"/>
      <c r="S2771" s="1"/>
    </row>
    <row r="2772" spans="9:19" x14ac:dyDescent="0.3">
      <c r="I2772" s="1"/>
      <c r="S2772" s="1"/>
    </row>
    <row r="2773" spans="9:19" x14ac:dyDescent="0.3">
      <c r="I2773" s="1"/>
      <c r="S2773" s="1"/>
    </row>
    <row r="2774" spans="9:19" x14ac:dyDescent="0.3">
      <c r="I2774" s="1"/>
      <c r="S2774" s="1"/>
    </row>
    <row r="2775" spans="9:19" x14ac:dyDescent="0.3">
      <c r="I2775" s="1"/>
      <c r="S2775" s="1"/>
    </row>
    <row r="2776" spans="9:19" x14ac:dyDescent="0.3">
      <c r="I2776" s="1"/>
      <c r="S2776" s="1"/>
    </row>
    <row r="2777" spans="9:19" x14ac:dyDescent="0.3">
      <c r="I2777" s="1"/>
      <c r="S2777" s="1"/>
    </row>
    <row r="2778" spans="9:19" x14ac:dyDescent="0.3">
      <c r="I2778" s="1"/>
      <c r="S2778" s="1"/>
    </row>
    <row r="2779" spans="9:19" x14ac:dyDescent="0.3">
      <c r="I2779" s="1"/>
      <c r="S2779" s="1"/>
    </row>
    <row r="2780" spans="9:19" x14ac:dyDescent="0.3">
      <c r="I2780" s="1"/>
      <c r="S2780" s="1"/>
    </row>
    <row r="2781" spans="9:19" x14ac:dyDescent="0.3">
      <c r="I2781" s="1"/>
      <c r="S2781" s="1"/>
    </row>
    <row r="2782" spans="9:19" x14ac:dyDescent="0.3">
      <c r="I2782" s="1"/>
      <c r="S2782" s="1"/>
    </row>
    <row r="2783" spans="9:19" x14ac:dyDescent="0.3">
      <c r="I2783" s="1"/>
      <c r="S2783" s="1"/>
    </row>
    <row r="2784" spans="9:19" x14ac:dyDescent="0.3">
      <c r="I2784" s="1"/>
      <c r="S2784" s="1"/>
    </row>
    <row r="2785" spans="9:19" x14ac:dyDescent="0.3">
      <c r="I2785" s="1"/>
      <c r="S2785" s="1"/>
    </row>
    <row r="2786" spans="9:19" x14ac:dyDescent="0.3">
      <c r="I2786" s="1"/>
      <c r="S2786" s="1"/>
    </row>
    <row r="2787" spans="9:19" x14ac:dyDescent="0.3">
      <c r="I2787" s="1"/>
      <c r="S2787" s="1"/>
    </row>
    <row r="2788" spans="9:19" x14ac:dyDescent="0.3">
      <c r="I2788" s="1"/>
      <c r="S2788" s="1"/>
    </row>
    <row r="2789" spans="9:19" x14ac:dyDescent="0.3">
      <c r="I2789" s="1"/>
      <c r="S2789" s="1"/>
    </row>
    <row r="2790" spans="9:19" x14ac:dyDescent="0.3">
      <c r="I2790" s="1"/>
      <c r="S2790" s="1"/>
    </row>
    <row r="2791" spans="9:19" x14ac:dyDescent="0.3">
      <c r="I2791" s="1"/>
      <c r="S2791" s="1"/>
    </row>
    <row r="2792" spans="9:19" x14ac:dyDescent="0.3">
      <c r="I2792" s="1"/>
      <c r="S2792" s="1"/>
    </row>
    <row r="2793" spans="9:19" x14ac:dyDescent="0.3">
      <c r="I2793" s="1"/>
      <c r="S2793" s="1"/>
    </row>
    <row r="2794" spans="9:19" x14ac:dyDescent="0.3">
      <c r="I2794" s="1"/>
      <c r="S2794" s="1"/>
    </row>
    <row r="2795" spans="9:19" x14ac:dyDescent="0.3">
      <c r="I2795" s="1"/>
      <c r="S2795" s="1"/>
    </row>
    <row r="2796" spans="9:19" x14ac:dyDescent="0.3">
      <c r="I2796" s="1"/>
      <c r="S2796" s="1"/>
    </row>
    <row r="2797" spans="9:19" x14ac:dyDescent="0.3">
      <c r="I2797" s="1"/>
      <c r="S2797" s="1"/>
    </row>
    <row r="2798" spans="9:19" x14ac:dyDescent="0.3">
      <c r="I2798" s="1"/>
      <c r="S2798" s="1"/>
    </row>
    <row r="2799" spans="9:19" x14ac:dyDescent="0.3">
      <c r="I2799" s="1"/>
      <c r="S2799" s="1"/>
    </row>
    <row r="2800" spans="9:19" x14ac:dyDescent="0.3">
      <c r="I2800" s="1"/>
      <c r="S2800" s="1"/>
    </row>
    <row r="2801" spans="9:19" x14ac:dyDescent="0.3">
      <c r="I2801" s="1"/>
      <c r="S2801" s="1"/>
    </row>
    <row r="2802" spans="9:19" x14ac:dyDescent="0.3">
      <c r="I2802" s="1"/>
      <c r="S2802" s="1"/>
    </row>
    <row r="2803" spans="9:19" x14ac:dyDescent="0.3">
      <c r="I2803" s="1"/>
      <c r="S2803" s="1"/>
    </row>
    <row r="2804" spans="9:19" x14ac:dyDescent="0.3">
      <c r="I2804" s="1"/>
      <c r="S2804" s="1"/>
    </row>
    <row r="2805" spans="9:19" x14ac:dyDescent="0.3">
      <c r="I2805" s="1"/>
      <c r="S2805" s="1"/>
    </row>
    <row r="2806" spans="9:19" x14ac:dyDescent="0.3">
      <c r="I2806" s="1"/>
      <c r="S2806" s="1"/>
    </row>
    <row r="2807" spans="9:19" x14ac:dyDescent="0.3">
      <c r="I2807" s="1"/>
      <c r="S2807" s="1"/>
    </row>
    <row r="2808" spans="9:19" x14ac:dyDescent="0.3">
      <c r="I2808" s="1"/>
      <c r="S2808" s="1"/>
    </row>
    <row r="2809" spans="9:19" x14ac:dyDescent="0.3">
      <c r="I2809" s="1"/>
      <c r="S2809" s="1"/>
    </row>
    <row r="2810" spans="9:19" x14ac:dyDescent="0.3">
      <c r="I2810" s="1"/>
      <c r="S2810" s="1"/>
    </row>
    <row r="2811" spans="9:19" x14ac:dyDescent="0.3">
      <c r="I2811" s="1"/>
      <c r="S2811" s="1"/>
    </row>
    <row r="2812" spans="9:19" x14ac:dyDescent="0.3">
      <c r="I2812" s="1"/>
      <c r="S2812" s="1"/>
    </row>
    <row r="2813" spans="9:19" x14ac:dyDescent="0.3">
      <c r="I2813" s="1"/>
      <c r="S2813" s="1"/>
    </row>
    <row r="2814" spans="9:19" x14ac:dyDescent="0.3">
      <c r="I2814" s="1"/>
      <c r="S2814" s="1"/>
    </row>
    <row r="2815" spans="9:19" x14ac:dyDescent="0.3">
      <c r="I2815" s="1"/>
      <c r="S2815" s="1"/>
    </row>
    <row r="2816" spans="9:19" x14ac:dyDescent="0.3">
      <c r="I2816" s="1"/>
      <c r="S2816" s="1"/>
    </row>
    <row r="2817" spans="9:19" x14ac:dyDescent="0.3">
      <c r="I2817" s="1"/>
      <c r="S2817" s="1"/>
    </row>
    <row r="2818" spans="9:19" x14ac:dyDescent="0.3">
      <c r="I2818" s="1"/>
      <c r="S2818" s="1"/>
    </row>
    <row r="2819" spans="9:19" x14ac:dyDescent="0.3">
      <c r="I2819" s="1"/>
      <c r="S2819" s="1"/>
    </row>
    <row r="2820" spans="9:19" x14ac:dyDescent="0.3">
      <c r="I2820" s="1"/>
      <c r="S2820" s="1"/>
    </row>
    <row r="2821" spans="9:19" x14ac:dyDescent="0.3">
      <c r="I2821" s="1"/>
      <c r="S2821" s="1"/>
    </row>
    <row r="2822" spans="9:19" x14ac:dyDescent="0.3">
      <c r="I2822" s="1"/>
      <c r="S2822" s="1"/>
    </row>
    <row r="2823" spans="9:19" x14ac:dyDescent="0.3">
      <c r="I2823" s="1"/>
      <c r="S2823" s="1"/>
    </row>
    <row r="2824" spans="9:19" x14ac:dyDescent="0.3">
      <c r="I2824" s="1"/>
      <c r="S2824" s="1"/>
    </row>
    <row r="2825" spans="9:19" x14ac:dyDescent="0.3">
      <c r="I2825" s="1"/>
      <c r="S2825" s="1"/>
    </row>
    <row r="2826" spans="9:19" x14ac:dyDescent="0.3">
      <c r="I2826" s="1"/>
      <c r="S2826" s="1"/>
    </row>
    <row r="2827" spans="9:19" x14ac:dyDescent="0.3">
      <c r="I2827" s="1"/>
      <c r="S2827" s="1"/>
    </row>
    <row r="2828" spans="9:19" x14ac:dyDescent="0.3">
      <c r="I2828" s="1"/>
      <c r="S2828" s="1"/>
    </row>
    <row r="2829" spans="9:19" x14ac:dyDescent="0.3">
      <c r="I2829" s="1"/>
      <c r="S2829" s="1"/>
    </row>
    <row r="2830" spans="9:19" x14ac:dyDescent="0.3">
      <c r="I2830" s="1"/>
      <c r="S2830" s="1"/>
    </row>
    <row r="2831" spans="9:19" x14ac:dyDescent="0.3">
      <c r="I2831" s="1"/>
      <c r="S2831" s="1"/>
    </row>
    <row r="2832" spans="9:19" x14ac:dyDescent="0.3">
      <c r="I2832" s="1"/>
      <c r="S2832" s="1"/>
    </row>
    <row r="2833" spans="9:19" x14ac:dyDescent="0.3">
      <c r="I2833" s="1"/>
      <c r="S2833" s="1"/>
    </row>
    <row r="2834" spans="9:19" x14ac:dyDescent="0.3">
      <c r="I2834" s="1"/>
      <c r="S2834" s="1"/>
    </row>
    <row r="2835" spans="9:19" x14ac:dyDescent="0.3">
      <c r="I2835" s="1"/>
      <c r="S2835" s="1"/>
    </row>
    <row r="2836" spans="9:19" x14ac:dyDescent="0.3">
      <c r="I2836" s="1"/>
      <c r="S2836" s="1"/>
    </row>
    <row r="2837" spans="9:19" x14ac:dyDescent="0.3">
      <c r="I2837" s="1"/>
      <c r="S2837" s="1"/>
    </row>
    <row r="2838" spans="9:19" x14ac:dyDescent="0.3">
      <c r="I2838" s="1"/>
      <c r="S2838" s="1"/>
    </row>
    <row r="2839" spans="9:19" x14ac:dyDescent="0.3">
      <c r="I2839" s="1"/>
      <c r="S2839" s="1"/>
    </row>
    <row r="2840" spans="9:19" x14ac:dyDescent="0.3">
      <c r="I2840" s="1"/>
      <c r="S2840" s="1"/>
    </row>
    <row r="2841" spans="9:19" x14ac:dyDescent="0.3">
      <c r="I2841" s="1"/>
      <c r="S2841" s="1"/>
    </row>
    <row r="2842" spans="9:19" x14ac:dyDescent="0.3">
      <c r="I2842" s="1"/>
      <c r="S2842" s="1"/>
    </row>
    <row r="2843" spans="9:19" x14ac:dyDescent="0.3">
      <c r="I2843" s="1"/>
      <c r="S2843" s="1"/>
    </row>
    <row r="2844" spans="9:19" x14ac:dyDescent="0.3">
      <c r="I2844" s="1"/>
      <c r="S2844" s="1"/>
    </row>
    <row r="2845" spans="9:19" x14ac:dyDescent="0.3">
      <c r="I2845" s="1"/>
      <c r="S2845" s="1"/>
    </row>
    <row r="2846" spans="9:19" x14ac:dyDescent="0.3">
      <c r="I2846" s="1"/>
      <c r="S2846" s="1"/>
    </row>
    <row r="2847" spans="9:19" x14ac:dyDescent="0.3">
      <c r="I2847" s="1"/>
      <c r="S2847" s="1"/>
    </row>
    <row r="2848" spans="9:19" x14ac:dyDescent="0.3">
      <c r="I2848" s="1"/>
      <c r="S2848" s="1"/>
    </row>
    <row r="2849" spans="9:19" x14ac:dyDescent="0.3">
      <c r="I2849" s="1"/>
      <c r="S2849" s="1"/>
    </row>
    <row r="2850" spans="9:19" x14ac:dyDescent="0.3">
      <c r="I2850" s="1"/>
      <c r="S2850" s="1"/>
    </row>
    <row r="2851" spans="9:19" x14ac:dyDescent="0.3">
      <c r="I2851" s="1"/>
      <c r="S2851" s="1"/>
    </row>
    <row r="2852" spans="9:19" x14ac:dyDescent="0.3">
      <c r="I2852" s="1"/>
      <c r="S2852" s="1"/>
    </row>
    <row r="2853" spans="9:19" x14ac:dyDescent="0.3">
      <c r="I2853" s="1"/>
      <c r="S2853" s="1"/>
    </row>
    <row r="2854" spans="9:19" x14ac:dyDescent="0.3">
      <c r="I2854" s="1"/>
      <c r="S2854" s="1"/>
    </row>
    <row r="2855" spans="9:19" x14ac:dyDescent="0.3">
      <c r="I2855" s="1"/>
      <c r="S2855" s="1"/>
    </row>
    <row r="2856" spans="9:19" x14ac:dyDescent="0.3">
      <c r="I2856" s="1"/>
      <c r="S2856" s="1"/>
    </row>
    <row r="2857" spans="9:19" x14ac:dyDescent="0.3">
      <c r="I2857" s="1"/>
      <c r="S2857" s="1"/>
    </row>
    <row r="2858" spans="9:19" x14ac:dyDescent="0.3">
      <c r="I2858" s="1"/>
      <c r="S2858" s="1"/>
    </row>
    <row r="2859" spans="9:19" x14ac:dyDescent="0.3">
      <c r="I2859" s="1"/>
      <c r="S2859" s="1"/>
    </row>
    <row r="2860" spans="9:19" x14ac:dyDescent="0.3">
      <c r="I2860" s="1"/>
      <c r="S2860" s="1"/>
    </row>
    <row r="2861" spans="9:19" x14ac:dyDescent="0.3">
      <c r="I2861" s="1"/>
      <c r="S2861" s="1"/>
    </row>
    <row r="2862" spans="9:19" x14ac:dyDescent="0.3">
      <c r="I2862" s="1"/>
      <c r="S2862" s="1"/>
    </row>
    <row r="2863" spans="9:19" x14ac:dyDescent="0.3">
      <c r="I2863" s="1"/>
      <c r="S2863" s="1"/>
    </row>
    <row r="2864" spans="9:19" x14ac:dyDescent="0.3">
      <c r="I2864" s="1"/>
      <c r="S2864" s="1"/>
    </row>
    <row r="2865" spans="9:19" x14ac:dyDescent="0.3">
      <c r="I2865" s="1"/>
      <c r="S2865" s="1"/>
    </row>
    <row r="2866" spans="9:19" x14ac:dyDescent="0.3">
      <c r="I2866" s="1"/>
      <c r="S2866" s="1"/>
    </row>
    <row r="2867" spans="9:19" x14ac:dyDescent="0.3">
      <c r="I2867" s="1"/>
      <c r="S2867" s="1"/>
    </row>
    <row r="2868" spans="9:19" x14ac:dyDescent="0.3">
      <c r="I2868" s="1"/>
      <c r="S2868" s="1"/>
    </row>
    <row r="2869" spans="9:19" x14ac:dyDescent="0.3">
      <c r="I2869" s="1"/>
      <c r="S2869" s="1"/>
    </row>
    <row r="2870" spans="9:19" x14ac:dyDescent="0.3">
      <c r="I2870" s="1"/>
      <c r="S2870" s="1"/>
    </row>
    <row r="2871" spans="9:19" x14ac:dyDescent="0.3">
      <c r="I2871" s="1"/>
      <c r="S2871" s="1"/>
    </row>
    <row r="2872" spans="9:19" x14ac:dyDescent="0.3">
      <c r="I2872" s="1"/>
      <c r="S2872" s="1"/>
    </row>
    <row r="2873" spans="9:19" x14ac:dyDescent="0.3">
      <c r="I2873" s="1"/>
      <c r="S2873" s="1"/>
    </row>
    <row r="2874" spans="9:19" x14ac:dyDescent="0.3">
      <c r="I2874" s="1"/>
      <c r="S2874" s="1"/>
    </row>
    <row r="2875" spans="9:19" x14ac:dyDescent="0.3">
      <c r="I2875" s="1"/>
      <c r="S2875" s="1"/>
    </row>
    <row r="2876" spans="9:19" x14ac:dyDescent="0.3">
      <c r="I2876" s="1"/>
      <c r="S2876" s="1"/>
    </row>
    <row r="2877" spans="9:19" x14ac:dyDescent="0.3">
      <c r="I2877" s="1"/>
      <c r="S2877" s="1"/>
    </row>
    <row r="2878" spans="9:19" x14ac:dyDescent="0.3">
      <c r="I2878" s="1"/>
      <c r="S2878" s="1"/>
    </row>
    <row r="2879" spans="9:19" x14ac:dyDescent="0.3">
      <c r="I2879" s="1"/>
      <c r="S2879" s="1"/>
    </row>
    <row r="2880" spans="9:19" x14ac:dyDescent="0.3">
      <c r="I2880" s="1"/>
      <c r="S2880" s="1"/>
    </row>
    <row r="2881" spans="9:19" x14ac:dyDescent="0.3">
      <c r="I2881" s="1"/>
      <c r="S2881" s="1"/>
    </row>
    <row r="2882" spans="9:19" x14ac:dyDescent="0.3">
      <c r="I2882" s="1"/>
      <c r="S2882" s="1"/>
    </row>
    <row r="2883" spans="9:19" x14ac:dyDescent="0.3">
      <c r="I2883" s="1"/>
      <c r="S2883" s="1"/>
    </row>
    <row r="2884" spans="9:19" x14ac:dyDescent="0.3">
      <c r="I2884" s="1"/>
      <c r="S2884" s="1"/>
    </row>
    <row r="2885" spans="9:19" x14ac:dyDescent="0.3">
      <c r="I2885" s="1"/>
      <c r="S2885" s="1"/>
    </row>
    <row r="2886" spans="9:19" x14ac:dyDescent="0.3">
      <c r="I2886" s="1"/>
      <c r="S2886" s="1"/>
    </row>
    <row r="2887" spans="9:19" x14ac:dyDescent="0.3">
      <c r="I2887" s="1"/>
      <c r="S2887" s="1"/>
    </row>
    <row r="2888" spans="9:19" x14ac:dyDescent="0.3">
      <c r="I2888" s="1"/>
      <c r="S2888" s="1"/>
    </row>
    <row r="2889" spans="9:19" x14ac:dyDescent="0.3">
      <c r="I2889" s="1"/>
      <c r="S2889" s="1"/>
    </row>
    <row r="2890" spans="9:19" x14ac:dyDescent="0.3">
      <c r="I2890" s="1"/>
      <c r="S2890" s="1"/>
    </row>
    <row r="2891" spans="9:19" x14ac:dyDescent="0.3">
      <c r="I2891" s="1"/>
      <c r="S2891" s="1"/>
    </row>
    <row r="2892" spans="9:19" x14ac:dyDescent="0.3">
      <c r="I2892" s="1"/>
      <c r="S2892" s="1"/>
    </row>
    <row r="2893" spans="9:19" x14ac:dyDescent="0.3">
      <c r="I2893" s="1"/>
      <c r="S2893" s="1"/>
    </row>
    <row r="2894" spans="9:19" x14ac:dyDescent="0.3">
      <c r="I2894" s="1"/>
      <c r="S2894" s="1"/>
    </row>
    <row r="2895" spans="9:19" x14ac:dyDescent="0.3">
      <c r="I2895" s="1"/>
      <c r="S2895" s="1"/>
    </row>
    <row r="2896" spans="9:19" x14ac:dyDescent="0.3">
      <c r="I2896" s="1"/>
      <c r="S2896" s="1"/>
    </row>
    <row r="2897" spans="9:19" x14ac:dyDescent="0.3">
      <c r="I2897" s="1"/>
      <c r="S2897" s="1"/>
    </row>
    <row r="2898" spans="9:19" x14ac:dyDescent="0.3">
      <c r="I2898" s="1"/>
      <c r="S2898" s="1"/>
    </row>
    <row r="2899" spans="9:19" x14ac:dyDescent="0.3">
      <c r="I2899" s="1"/>
      <c r="S2899" s="1"/>
    </row>
    <row r="2900" spans="9:19" x14ac:dyDescent="0.3">
      <c r="I2900" s="1"/>
      <c r="S2900" s="1"/>
    </row>
    <row r="2901" spans="9:19" x14ac:dyDescent="0.3">
      <c r="I2901" s="1"/>
      <c r="S2901" s="1"/>
    </row>
    <row r="2902" spans="9:19" x14ac:dyDescent="0.3">
      <c r="I2902" s="1"/>
      <c r="S2902" s="1"/>
    </row>
    <row r="2903" spans="9:19" x14ac:dyDescent="0.3">
      <c r="I2903" s="1"/>
      <c r="S2903" s="1"/>
    </row>
    <row r="2904" spans="9:19" x14ac:dyDescent="0.3">
      <c r="I2904" s="1"/>
      <c r="S2904" s="1"/>
    </row>
    <row r="2905" spans="9:19" x14ac:dyDescent="0.3">
      <c r="I2905" s="1"/>
      <c r="S2905" s="1"/>
    </row>
    <row r="2906" spans="9:19" x14ac:dyDescent="0.3">
      <c r="I2906" s="1"/>
      <c r="S2906" s="1"/>
    </row>
    <row r="2907" spans="9:19" x14ac:dyDescent="0.3">
      <c r="I2907" s="1"/>
      <c r="S2907" s="1"/>
    </row>
    <row r="2908" spans="9:19" x14ac:dyDescent="0.3">
      <c r="I2908" s="1"/>
      <c r="S2908" s="1"/>
    </row>
    <row r="2909" spans="9:19" x14ac:dyDescent="0.3">
      <c r="I2909" s="1"/>
      <c r="S2909" s="1"/>
    </row>
    <row r="2910" spans="9:19" x14ac:dyDescent="0.3">
      <c r="I2910" s="1"/>
      <c r="S2910" s="1"/>
    </row>
    <row r="2911" spans="9:19" x14ac:dyDescent="0.3">
      <c r="I2911" s="1"/>
      <c r="S2911" s="1"/>
    </row>
    <row r="2912" spans="9:19" x14ac:dyDescent="0.3">
      <c r="I2912" s="1"/>
      <c r="S2912" s="1"/>
    </row>
    <row r="2913" spans="9:19" x14ac:dyDescent="0.3">
      <c r="I2913" s="1"/>
      <c r="S2913" s="1"/>
    </row>
    <row r="2914" spans="9:19" x14ac:dyDescent="0.3">
      <c r="I2914" s="1"/>
      <c r="S2914" s="1"/>
    </row>
    <row r="2915" spans="9:19" x14ac:dyDescent="0.3">
      <c r="I2915" s="1"/>
      <c r="S2915" s="1"/>
    </row>
    <row r="2916" spans="9:19" x14ac:dyDescent="0.3">
      <c r="I2916" s="1"/>
      <c r="S2916" s="1"/>
    </row>
    <row r="2917" spans="9:19" x14ac:dyDescent="0.3">
      <c r="I2917" s="1"/>
      <c r="S2917" s="1"/>
    </row>
    <row r="2918" spans="9:19" x14ac:dyDescent="0.3">
      <c r="I2918" s="1"/>
      <c r="S2918" s="1"/>
    </row>
    <row r="2919" spans="9:19" x14ac:dyDescent="0.3">
      <c r="I2919" s="1"/>
      <c r="S2919" s="1"/>
    </row>
    <row r="2920" spans="9:19" x14ac:dyDescent="0.3">
      <c r="I2920" s="1"/>
      <c r="S2920" s="1"/>
    </row>
    <row r="2921" spans="9:19" x14ac:dyDescent="0.3">
      <c r="I2921" s="1"/>
      <c r="S2921" s="1"/>
    </row>
    <row r="2922" spans="9:19" x14ac:dyDescent="0.3">
      <c r="I2922" s="1"/>
      <c r="S2922" s="1"/>
    </row>
    <row r="2923" spans="9:19" x14ac:dyDescent="0.3">
      <c r="I2923" s="1"/>
      <c r="S2923" s="1"/>
    </row>
    <row r="2924" spans="9:19" x14ac:dyDescent="0.3">
      <c r="I2924" s="1"/>
      <c r="S2924" s="1"/>
    </row>
    <row r="2925" spans="9:19" x14ac:dyDescent="0.3">
      <c r="I2925" s="1"/>
      <c r="S2925" s="1"/>
    </row>
    <row r="2926" spans="9:19" x14ac:dyDescent="0.3">
      <c r="I2926" s="1"/>
      <c r="S2926" s="1"/>
    </row>
    <row r="2927" spans="9:19" x14ac:dyDescent="0.3">
      <c r="I2927" s="1"/>
      <c r="S2927" s="1"/>
    </row>
    <row r="2928" spans="9:19" x14ac:dyDescent="0.3">
      <c r="I2928" s="1"/>
      <c r="S2928" s="1"/>
    </row>
    <row r="2929" spans="9:19" x14ac:dyDescent="0.3">
      <c r="I2929" s="1"/>
      <c r="S2929" s="1"/>
    </row>
    <row r="2930" spans="9:19" x14ac:dyDescent="0.3">
      <c r="I2930" s="1"/>
      <c r="S2930" s="1"/>
    </row>
    <row r="2931" spans="9:19" x14ac:dyDescent="0.3">
      <c r="I2931" s="1"/>
      <c r="S2931" s="1"/>
    </row>
    <row r="2932" spans="9:19" x14ac:dyDescent="0.3">
      <c r="I2932" s="1"/>
      <c r="S2932" s="1"/>
    </row>
    <row r="2933" spans="9:19" x14ac:dyDescent="0.3">
      <c r="I2933" s="1"/>
      <c r="S2933" s="1"/>
    </row>
    <row r="2934" spans="9:19" x14ac:dyDescent="0.3">
      <c r="I2934" s="1"/>
      <c r="S2934" s="1"/>
    </row>
    <row r="2935" spans="9:19" x14ac:dyDescent="0.3">
      <c r="I2935" s="1"/>
      <c r="S2935" s="1"/>
    </row>
    <row r="2936" spans="9:19" x14ac:dyDescent="0.3">
      <c r="I2936" s="1"/>
      <c r="S2936" s="1"/>
    </row>
    <row r="2937" spans="9:19" x14ac:dyDescent="0.3">
      <c r="I2937" s="1"/>
      <c r="S2937" s="1"/>
    </row>
    <row r="2938" spans="9:19" x14ac:dyDescent="0.3">
      <c r="I2938" s="1"/>
      <c r="S2938" s="1"/>
    </row>
    <row r="2939" spans="9:19" x14ac:dyDescent="0.3">
      <c r="I2939" s="1"/>
      <c r="S2939" s="1"/>
    </row>
    <row r="2940" spans="9:19" x14ac:dyDescent="0.3">
      <c r="I2940" s="1"/>
      <c r="S2940" s="1"/>
    </row>
    <row r="2941" spans="9:19" x14ac:dyDescent="0.3">
      <c r="I2941" s="1"/>
      <c r="S2941" s="1"/>
    </row>
    <row r="2942" spans="9:19" x14ac:dyDescent="0.3">
      <c r="I2942" s="1"/>
      <c r="S2942" s="1"/>
    </row>
    <row r="2943" spans="9:19" x14ac:dyDescent="0.3">
      <c r="I2943" s="1"/>
      <c r="S2943" s="1"/>
    </row>
    <row r="2944" spans="9:19" x14ac:dyDescent="0.3">
      <c r="I2944" s="1"/>
      <c r="S2944" s="1"/>
    </row>
    <row r="2945" spans="9:19" x14ac:dyDescent="0.3">
      <c r="I2945" s="1"/>
      <c r="S2945" s="1"/>
    </row>
    <row r="2946" spans="9:19" x14ac:dyDescent="0.3">
      <c r="I2946" s="1"/>
      <c r="S2946" s="1"/>
    </row>
    <row r="2947" spans="9:19" x14ac:dyDescent="0.3">
      <c r="I2947" s="1"/>
      <c r="S2947" s="1"/>
    </row>
    <row r="2948" spans="9:19" x14ac:dyDescent="0.3">
      <c r="I2948" s="1"/>
      <c r="S2948" s="1"/>
    </row>
    <row r="2949" spans="9:19" x14ac:dyDescent="0.3">
      <c r="I2949" s="1"/>
      <c r="S2949" s="1"/>
    </row>
    <row r="2950" spans="9:19" x14ac:dyDescent="0.3">
      <c r="I2950" s="1"/>
      <c r="S2950" s="1"/>
    </row>
    <row r="2951" spans="9:19" x14ac:dyDescent="0.3">
      <c r="I2951" s="1"/>
      <c r="S2951" s="1"/>
    </row>
    <row r="2952" spans="9:19" x14ac:dyDescent="0.3">
      <c r="I2952" s="1"/>
      <c r="S2952" s="1"/>
    </row>
    <row r="2953" spans="9:19" x14ac:dyDescent="0.3">
      <c r="I2953" s="1"/>
      <c r="S2953" s="1"/>
    </row>
    <row r="2954" spans="9:19" x14ac:dyDescent="0.3">
      <c r="I2954" s="1"/>
      <c r="S2954" s="1"/>
    </row>
    <row r="2955" spans="9:19" x14ac:dyDescent="0.3">
      <c r="I2955" s="1"/>
      <c r="S2955" s="1"/>
    </row>
    <row r="2956" spans="9:19" x14ac:dyDescent="0.3">
      <c r="I2956" s="1"/>
      <c r="S2956" s="1"/>
    </row>
    <row r="2957" spans="9:19" x14ac:dyDescent="0.3">
      <c r="I2957" s="1"/>
      <c r="S2957" s="1"/>
    </row>
    <row r="2958" spans="9:19" x14ac:dyDescent="0.3">
      <c r="I2958" s="1"/>
      <c r="S2958" s="1"/>
    </row>
    <row r="2959" spans="9:19" x14ac:dyDescent="0.3">
      <c r="I2959" s="1"/>
      <c r="S2959" s="1"/>
    </row>
    <row r="2960" spans="9:19" x14ac:dyDescent="0.3">
      <c r="I2960" s="1"/>
      <c r="S2960" s="1"/>
    </row>
    <row r="2961" spans="9:19" x14ac:dyDescent="0.3">
      <c r="I2961" s="1"/>
      <c r="S2961" s="1"/>
    </row>
    <row r="2962" spans="9:19" x14ac:dyDescent="0.3">
      <c r="I2962" s="1"/>
      <c r="S2962" s="1"/>
    </row>
    <row r="2963" spans="9:19" x14ac:dyDescent="0.3">
      <c r="I2963" s="1"/>
      <c r="S2963" s="1"/>
    </row>
    <row r="2964" spans="9:19" x14ac:dyDescent="0.3">
      <c r="I2964" s="1"/>
      <c r="S2964" s="1"/>
    </row>
    <row r="2965" spans="9:19" x14ac:dyDescent="0.3">
      <c r="I2965" s="1"/>
      <c r="S2965" s="1"/>
    </row>
    <row r="2966" spans="9:19" x14ac:dyDescent="0.3">
      <c r="I2966" s="1"/>
      <c r="S2966" s="1"/>
    </row>
    <row r="2967" spans="9:19" x14ac:dyDescent="0.3">
      <c r="I2967" s="1"/>
      <c r="S2967" s="1"/>
    </row>
    <row r="2968" spans="9:19" x14ac:dyDescent="0.3">
      <c r="I2968" s="1"/>
      <c r="S2968" s="1"/>
    </row>
    <row r="2969" spans="9:19" x14ac:dyDescent="0.3">
      <c r="I2969" s="1"/>
      <c r="S2969" s="1"/>
    </row>
    <row r="2970" spans="9:19" x14ac:dyDescent="0.3">
      <c r="I2970" s="1"/>
      <c r="S2970" s="1"/>
    </row>
    <row r="2971" spans="9:19" x14ac:dyDescent="0.3">
      <c r="I2971" s="1"/>
      <c r="S2971" s="1"/>
    </row>
    <row r="2972" spans="9:19" x14ac:dyDescent="0.3">
      <c r="I2972" s="1"/>
      <c r="S2972" s="1"/>
    </row>
    <row r="2973" spans="9:19" x14ac:dyDescent="0.3">
      <c r="I2973" s="1"/>
      <c r="S2973" s="1"/>
    </row>
    <row r="2974" spans="9:19" x14ac:dyDescent="0.3">
      <c r="I2974" s="1"/>
      <c r="S2974" s="1"/>
    </row>
    <row r="2975" spans="9:19" x14ac:dyDescent="0.3">
      <c r="I2975" s="1"/>
      <c r="S2975" s="1"/>
    </row>
    <row r="2976" spans="9:19" x14ac:dyDescent="0.3">
      <c r="I2976" s="1"/>
      <c r="S2976" s="1"/>
    </row>
    <row r="2977" spans="9:19" x14ac:dyDescent="0.3">
      <c r="I2977" s="1"/>
      <c r="S2977" s="1"/>
    </row>
    <row r="2978" spans="9:19" x14ac:dyDescent="0.3">
      <c r="I2978" s="1"/>
      <c r="S2978" s="1"/>
    </row>
    <row r="2979" spans="9:19" x14ac:dyDescent="0.3">
      <c r="I2979" s="1"/>
      <c r="S2979" s="1"/>
    </row>
    <row r="2980" spans="9:19" x14ac:dyDescent="0.3">
      <c r="I2980" s="1"/>
      <c r="S2980" s="1"/>
    </row>
    <row r="2981" spans="9:19" x14ac:dyDescent="0.3">
      <c r="I2981" s="1"/>
      <c r="S2981" s="1"/>
    </row>
    <row r="2982" spans="9:19" x14ac:dyDescent="0.3">
      <c r="I2982" s="1"/>
      <c r="S2982" s="1"/>
    </row>
    <row r="2983" spans="9:19" x14ac:dyDescent="0.3">
      <c r="I2983" s="1"/>
      <c r="S2983" s="1"/>
    </row>
    <row r="2984" spans="9:19" x14ac:dyDescent="0.3">
      <c r="I2984" s="1"/>
      <c r="S2984" s="1"/>
    </row>
    <row r="2985" spans="9:19" x14ac:dyDescent="0.3">
      <c r="I2985" s="1"/>
      <c r="S2985" s="1"/>
    </row>
    <row r="2986" spans="9:19" x14ac:dyDescent="0.3">
      <c r="I2986" s="1"/>
      <c r="S2986" s="1"/>
    </row>
    <row r="2987" spans="9:19" x14ac:dyDescent="0.3">
      <c r="I2987" s="1"/>
      <c r="S2987" s="1"/>
    </row>
    <row r="2988" spans="9:19" x14ac:dyDescent="0.3">
      <c r="I2988" s="1"/>
      <c r="S2988" s="1"/>
    </row>
    <row r="2989" spans="9:19" x14ac:dyDescent="0.3">
      <c r="I2989" s="1"/>
      <c r="S2989" s="1"/>
    </row>
    <row r="2990" spans="9:19" x14ac:dyDescent="0.3">
      <c r="I2990" s="1"/>
      <c r="S2990" s="1"/>
    </row>
    <row r="2991" spans="9:19" x14ac:dyDescent="0.3">
      <c r="I2991" s="1"/>
      <c r="S2991" s="1"/>
    </row>
    <row r="2992" spans="9:19" x14ac:dyDescent="0.3">
      <c r="I2992" s="1"/>
      <c r="S2992" s="1"/>
    </row>
    <row r="2993" spans="9:19" x14ac:dyDescent="0.3">
      <c r="I2993" s="1"/>
      <c r="S2993" s="1"/>
    </row>
    <row r="2994" spans="9:19" x14ac:dyDescent="0.3">
      <c r="I2994" s="1"/>
      <c r="S2994" s="1"/>
    </row>
    <row r="2995" spans="9:19" x14ac:dyDescent="0.3">
      <c r="I2995" s="1"/>
      <c r="S2995" s="1"/>
    </row>
    <row r="2996" spans="9:19" x14ac:dyDescent="0.3">
      <c r="I2996" s="1"/>
      <c r="S2996" s="1"/>
    </row>
    <row r="2997" spans="9:19" x14ac:dyDescent="0.3">
      <c r="I2997" s="1"/>
      <c r="S2997" s="1"/>
    </row>
    <row r="2998" spans="9:19" x14ac:dyDescent="0.3">
      <c r="I2998" s="1"/>
      <c r="S2998" s="1"/>
    </row>
    <row r="2999" spans="9:19" x14ac:dyDescent="0.3">
      <c r="I2999" s="1"/>
      <c r="S2999" s="1"/>
    </row>
    <row r="3000" spans="9:19" x14ac:dyDescent="0.3">
      <c r="I3000" s="1"/>
      <c r="S3000" s="1"/>
    </row>
    <row r="3001" spans="9:19" x14ac:dyDescent="0.3">
      <c r="I3001" s="1"/>
      <c r="S3001" s="1"/>
    </row>
    <row r="3002" spans="9:19" x14ac:dyDescent="0.3">
      <c r="I3002" s="1"/>
      <c r="S3002" s="1"/>
    </row>
    <row r="3003" spans="9:19" x14ac:dyDescent="0.3">
      <c r="I3003" s="1"/>
      <c r="S3003" s="1"/>
    </row>
    <row r="3004" spans="9:19" x14ac:dyDescent="0.3">
      <c r="I3004" s="1"/>
      <c r="S3004" s="1"/>
    </row>
    <row r="3005" spans="9:19" x14ac:dyDescent="0.3">
      <c r="I3005" s="1"/>
      <c r="S3005" s="1"/>
    </row>
    <row r="3006" spans="9:19" x14ac:dyDescent="0.3">
      <c r="I3006" s="1"/>
      <c r="S3006" s="1"/>
    </row>
    <row r="3007" spans="9:19" x14ac:dyDescent="0.3">
      <c r="I3007" s="1"/>
      <c r="S3007" s="1"/>
    </row>
    <row r="3008" spans="9:19" x14ac:dyDescent="0.3">
      <c r="I3008" s="1"/>
      <c r="S3008" s="1"/>
    </row>
    <row r="3009" spans="9:19" x14ac:dyDescent="0.3">
      <c r="I3009" s="1"/>
      <c r="S3009" s="1"/>
    </row>
    <row r="3010" spans="9:19" x14ac:dyDescent="0.3">
      <c r="I3010" s="1"/>
      <c r="S3010" s="1"/>
    </row>
    <row r="3011" spans="9:19" x14ac:dyDescent="0.3">
      <c r="I3011" s="1"/>
      <c r="S3011" s="1"/>
    </row>
    <row r="3012" spans="9:19" x14ac:dyDescent="0.3">
      <c r="I3012" s="1"/>
      <c r="S3012" s="1"/>
    </row>
    <row r="3013" spans="9:19" x14ac:dyDescent="0.3">
      <c r="I3013" s="1"/>
      <c r="S3013" s="1"/>
    </row>
    <row r="3014" spans="9:19" x14ac:dyDescent="0.3">
      <c r="I3014" s="1"/>
      <c r="S3014" s="1"/>
    </row>
    <row r="3015" spans="9:19" x14ac:dyDescent="0.3">
      <c r="I3015" s="1"/>
      <c r="S3015" s="1"/>
    </row>
    <row r="3016" spans="9:19" x14ac:dyDescent="0.3">
      <c r="I3016" s="1"/>
      <c r="S3016" s="1"/>
    </row>
    <row r="3017" spans="9:19" x14ac:dyDescent="0.3">
      <c r="I3017" s="1"/>
      <c r="S3017" s="1"/>
    </row>
    <row r="3018" spans="9:19" x14ac:dyDescent="0.3">
      <c r="I3018" s="1"/>
      <c r="S3018" s="1"/>
    </row>
    <row r="3019" spans="9:19" x14ac:dyDescent="0.3">
      <c r="I3019" s="1"/>
      <c r="S3019" s="1"/>
    </row>
    <row r="3020" spans="9:19" x14ac:dyDescent="0.3">
      <c r="I3020" s="1"/>
      <c r="S3020" s="1"/>
    </row>
    <row r="3021" spans="9:19" x14ac:dyDescent="0.3">
      <c r="I3021" s="1"/>
      <c r="S3021" s="1"/>
    </row>
    <row r="3022" spans="9:19" x14ac:dyDescent="0.3">
      <c r="I3022" s="1"/>
      <c r="S3022" s="1"/>
    </row>
    <row r="3023" spans="9:19" x14ac:dyDescent="0.3">
      <c r="I3023" s="1"/>
      <c r="S3023" s="1"/>
    </row>
    <row r="3024" spans="9:19" x14ac:dyDescent="0.3">
      <c r="I3024" s="1"/>
      <c r="S3024" s="1"/>
    </row>
    <row r="3025" spans="9:19" x14ac:dyDescent="0.3">
      <c r="I3025" s="1"/>
      <c r="S3025" s="1"/>
    </row>
    <row r="3026" spans="9:19" x14ac:dyDescent="0.3">
      <c r="I3026" s="1"/>
      <c r="S3026" s="1"/>
    </row>
    <row r="3027" spans="9:19" x14ac:dyDescent="0.3">
      <c r="I3027" s="1"/>
      <c r="S3027" s="1"/>
    </row>
    <row r="3028" spans="9:19" x14ac:dyDescent="0.3">
      <c r="I3028" s="1"/>
      <c r="S3028" s="1"/>
    </row>
    <row r="3029" spans="9:19" x14ac:dyDescent="0.3">
      <c r="I3029" s="1"/>
      <c r="S3029" s="1"/>
    </row>
    <row r="3030" spans="9:19" x14ac:dyDescent="0.3">
      <c r="I3030" s="1"/>
      <c r="S3030" s="1"/>
    </row>
    <row r="3031" spans="9:19" x14ac:dyDescent="0.3">
      <c r="I3031" s="1"/>
      <c r="S3031" s="1"/>
    </row>
    <row r="3032" spans="9:19" x14ac:dyDescent="0.3">
      <c r="I3032" s="1"/>
      <c r="S3032" s="1"/>
    </row>
    <row r="3033" spans="9:19" x14ac:dyDescent="0.3">
      <c r="I3033" s="1"/>
      <c r="S3033" s="1"/>
    </row>
    <row r="3034" spans="9:19" x14ac:dyDescent="0.3">
      <c r="I3034" s="1"/>
      <c r="S3034" s="1"/>
    </row>
    <row r="3035" spans="9:19" x14ac:dyDescent="0.3">
      <c r="I3035" s="1"/>
      <c r="S3035" s="1"/>
    </row>
    <row r="3036" spans="9:19" x14ac:dyDescent="0.3">
      <c r="I3036" s="1"/>
      <c r="S3036" s="1"/>
    </row>
    <row r="3037" spans="9:19" x14ac:dyDescent="0.3">
      <c r="I3037" s="1"/>
      <c r="S3037" s="1"/>
    </row>
    <row r="3038" spans="9:19" x14ac:dyDescent="0.3">
      <c r="I3038" s="1"/>
      <c r="S3038" s="1"/>
    </row>
    <row r="3039" spans="9:19" x14ac:dyDescent="0.3">
      <c r="I3039" s="1"/>
      <c r="S3039" s="1"/>
    </row>
    <row r="3040" spans="9:19" x14ac:dyDescent="0.3">
      <c r="I3040" s="1"/>
      <c r="S3040" s="1"/>
    </row>
    <row r="3041" spans="9:19" x14ac:dyDescent="0.3">
      <c r="I3041" s="1"/>
      <c r="S3041" s="1"/>
    </row>
    <row r="3042" spans="9:19" x14ac:dyDescent="0.3">
      <c r="I3042" s="1"/>
      <c r="S3042" s="1"/>
    </row>
    <row r="3043" spans="9:19" x14ac:dyDescent="0.3">
      <c r="I3043" s="1"/>
      <c r="S3043" s="1"/>
    </row>
    <row r="3044" spans="9:19" x14ac:dyDescent="0.3">
      <c r="I3044" s="1"/>
      <c r="S3044" s="1"/>
    </row>
    <row r="3045" spans="9:19" x14ac:dyDescent="0.3">
      <c r="I3045" s="1"/>
      <c r="S3045" s="1"/>
    </row>
    <row r="3046" spans="9:19" x14ac:dyDescent="0.3">
      <c r="I3046" s="1"/>
      <c r="S3046" s="1"/>
    </row>
    <row r="3047" spans="9:19" x14ac:dyDescent="0.3">
      <c r="I3047" s="1"/>
      <c r="S3047" s="1"/>
    </row>
    <row r="3048" spans="9:19" x14ac:dyDescent="0.3">
      <c r="I3048" s="1"/>
      <c r="S3048" s="1"/>
    </row>
    <row r="3049" spans="9:19" x14ac:dyDescent="0.3">
      <c r="I3049" s="1"/>
      <c r="S3049" s="1"/>
    </row>
    <row r="3050" spans="9:19" x14ac:dyDescent="0.3">
      <c r="I3050" s="1"/>
      <c r="S3050" s="1"/>
    </row>
    <row r="3051" spans="9:19" x14ac:dyDescent="0.3">
      <c r="I3051" s="1"/>
      <c r="S3051" s="1"/>
    </row>
    <row r="3052" spans="9:19" x14ac:dyDescent="0.3">
      <c r="I3052" s="1"/>
      <c r="S3052" s="1"/>
    </row>
    <row r="3053" spans="9:19" x14ac:dyDescent="0.3">
      <c r="I3053" s="1"/>
      <c r="S3053" s="1"/>
    </row>
    <row r="3054" spans="9:19" x14ac:dyDescent="0.3">
      <c r="I3054" s="1"/>
      <c r="S3054" s="1"/>
    </row>
    <row r="3055" spans="9:19" x14ac:dyDescent="0.3">
      <c r="I3055" s="1"/>
      <c r="S3055" s="1"/>
    </row>
    <row r="3056" spans="9:19" x14ac:dyDescent="0.3">
      <c r="I3056" s="1"/>
      <c r="S3056" s="1"/>
    </row>
    <row r="3057" spans="9:19" x14ac:dyDescent="0.3">
      <c r="I3057" s="1"/>
      <c r="S3057" s="1"/>
    </row>
    <row r="3058" spans="9:19" x14ac:dyDescent="0.3">
      <c r="I3058" s="1"/>
      <c r="S3058" s="1"/>
    </row>
    <row r="3059" spans="9:19" x14ac:dyDescent="0.3">
      <c r="I3059" s="1"/>
      <c r="S3059" s="1"/>
    </row>
    <row r="3060" spans="9:19" x14ac:dyDescent="0.3">
      <c r="I3060" s="1"/>
      <c r="S3060" s="1"/>
    </row>
    <row r="3061" spans="9:19" x14ac:dyDescent="0.3">
      <c r="I3061" s="1"/>
      <c r="S3061" s="1"/>
    </row>
    <row r="3062" spans="9:19" x14ac:dyDescent="0.3">
      <c r="I3062" s="1"/>
      <c r="S3062" s="1"/>
    </row>
    <row r="3063" spans="9:19" x14ac:dyDescent="0.3">
      <c r="I3063" s="1"/>
      <c r="S3063" s="1"/>
    </row>
    <row r="3064" spans="9:19" x14ac:dyDescent="0.3">
      <c r="I3064" s="1"/>
      <c r="S3064" s="1"/>
    </row>
    <row r="3065" spans="9:19" x14ac:dyDescent="0.3">
      <c r="I3065" s="1"/>
      <c r="S3065" s="1"/>
    </row>
    <row r="3066" spans="9:19" x14ac:dyDescent="0.3">
      <c r="I3066" s="1"/>
      <c r="S3066" s="1"/>
    </row>
    <row r="3067" spans="9:19" x14ac:dyDescent="0.3">
      <c r="I3067" s="1"/>
      <c r="S3067" s="1"/>
    </row>
    <row r="3068" spans="9:19" x14ac:dyDescent="0.3">
      <c r="I3068" s="1"/>
      <c r="S3068" s="1"/>
    </row>
    <row r="3069" spans="9:19" x14ac:dyDescent="0.3">
      <c r="I3069" s="1"/>
      <c r="S3069" s="1"/>
    </row>
    <row r="3070" spans="9:19" x14ac:dyDescent="0.3">
      <c r="I3070" s="1"/>
      <c r="S3070" s="1"/>
    </row>
    <row r="3071" spans="9:19" x14ac:dyDescent="0.3">
      <c r="I3071" s="1"/>
      <c r="S3071" s="1"/>
    </row>
    <row r="3072" spans="9:19" x14ac:dyDescent="0.3">
      <c r="I3072" s="1"/>
      <c r="S3072" s="1"/>
    </row>
    <row r="3073" spans="9:19" x14ac:dyDescent="0.3">
      <c r="I3073" s="1"/>
      <c r="S3073" s="1"/>
    </row>
    <row r="3074" spans="9:19" x14ac:dyDescent="0.3">
      <c r="I3074" s="1"/>
      <c r="S3074" s="1"/>
    </row>
    <row r="3075" spans="9:19" x14ac:dyDescent="0.3">
      <c r="I3075" s="1"/>
      <c r="S3075" s="1"/>
    </row>
    <row r="3076" spans="9:19" x14ac:dyDescent="0.3">
      <c r="I3076" s="1"/>
      <c r="S3076" s="1"/>
    </row>
    <row r="3077" spans="9:19" x14ac:dyDescent="0.3">
      <c r="I3077" s="1"/>
      <c r="S3077" s="1"/>
    </row>
    <row r="3078" spans="9:19" x14ac:dyDescent="0.3">
      <c r="I3078" s="1"/>
      <c r="S3078" s="1"/>
    </row>
    <row r="3079" spans="9:19" x14ac:dyDescent="0.3">
      <c r="I3079" s="1"/>
      <c r="S3079" s="1"/>
    </row>
    <row r="3080" spans="9:19" x14ac:dyDescent="0.3">
      <c r="I3080" s="1"/>
      <c r="S3080" s="1"/>
    </row>
    <row r="3081" spans="9:19" x14ac:dyDescent="0.3">
      <c r="I3081" s="1"/>
      <c r="S3081" s="1"/>
    </row>
    <row r="3082" spans="9:19" x14ac:dyDescent="0.3">
      <c r="I3082" s="1"/>
      <c r="S3082" s="1"/>
    </row>
    <row r="3083" spans="9:19" x14ac:dyDescent="0.3">
      <c r="I3083" s="1"/>
      <c r="S3083" s="1"/>
    </row>
    <row r="3084" spans="9:19" x14ac:dyDescent="0.3">
      <c r="I3084" s="1"/>
      <c r="S3084" s="1"/>
    </row>
    <row r="3085" spans="9:19" x14ac:dyDescent="0.3">
      <c r="I3085" s="1"/>
      <c r="S3085" s="1"/>
    </row>
    <row r="3086" spans="9:19" x14ac:dyDescent="0.3">
      <c r="I3086" s="1"/>
      <c r="S3086" s="1"/>
    </row>
    <row r="3087" spans="9:19" x14ac:dyDescent="0.3">
      <c r="I3087" s="1"/>
      <c r="S3087" s="1"/>
    </row>
    <row r="3088" spans="9:19" x14ac:dyDescent="0.3">
      <c r="I3088" s="1"/>
      <c r="S3088" s="1"/>
    </row>
    <row r="3089" spans="9:19" x14ac:dyDescent="0.3">
      <c r="I3089" s="1"/>
      <c r="S3089" s="1"/>
    </row>
    <row r="3090" spans="9:19" x14ac:dyDescent="0.3">
      <c r="I3090" s="1"/>
      <c r="S3090" s="1"/>
    </row>
    <row r="3091" spans="9:19" x14ac:dyDescent="0.3">
      <c r="I3091" s="1"/>
      <c r="S3091" s="1"/>
    </row>
    <row r="3092" spans="9:19" x14ac:dyDescent="0.3">
      <c r="I3092" s="1"/>
      <c r="S3092" s="1"/>
    </row>
    <row r="3093" spans="9:19" x14ac:dyDescent="0.3">
      <c r="I3093" s="1"/>
      <c r="S3093" s="1"/>
    </row>
    <row r="3094" spans="9:19" x14ac:dyDescent="0.3">
      <c r="I3094" s="1"/>
      <c r="S3094" s="1"/>
    </row>
    <row r="3095" spans="9:19" x14ac:dyDescent="0.3">
      <c r="I3095" s="1"/>
      <c r="S3095" s="1"/>
    </row>
    <row r="3096" spans="9:19" x14ac:dyDescent="0.3">
      <c r="I3096" s="1"/>
      <c r="S3096" s="1"/>
    </row>
    <row r="3097" spans="9:19" x14ac:dyDescent="0.3">
      <c r="I3097" s="1"/>
      <c r="S3097" s="1"/>
    </row>
    <row r="3098" spans="9:19" x14ac:dyDescent="0.3">
      <c r="I3098" s="1"/>
      <c r="S3098" s="1"/>
    </row>
    <row r="3099" spans="9:19" x14ac:dyDescent="0.3">
      <c r="I3099" s="1"/>
      <c r="S3099" s="1"/>
    </row>
    <row r="3100" spans="9:19" x14ac:dyDescent="0.3">
      <c r="I3100" s="1"/>
      <c r="S3100" s="1"/>
    </row>
    <row r="3101" spans="9:19" x14ac:dyDescent="0.3">
      <c r="I3101" s="1"/>
      <c r="S3101" s="1"/>
    </row>
    <row r="3102" spans="9:19" x14ac:dyDescent="0.3">
      <c r="I3102" s="1"/>
      <c r="S3102" s="1"/>
    </row>
    <row r="3103" spans="9:19" x14ac:dyDescent="0.3">
      <c r="I3103" s="1"/>
      <c r="S3103" s="1"/>
    </row>
    <row r="3104" spans="9:19" x14ac:dyDescent="0.3">
      <c r="I3104" s="1"/>
      <c r="S3104" s="1"/>
    </row>
    <row r="3105" spans="9:19" x14ac:dyDescent="0.3">
      <c r="I3105" s="1"/>
      <c r="S3105" s="1"/>
    </row>
    <row r="3106" spans="9:19" x14ac:dyDescent="0.3">
      <c r="I3106" s="1"/>
      <c r="S3106" s="1"/>
    </row>
    <row r="3107" spans="9:19" x14ac:dyDescent="0.3">
      <c r="I3107" s="1"/>
      <c r="S3107" s="1"/>
    </row>
    <row r="3108" spans="9:19" x14ac:dyDescent="0.3">
      <c r="I3108" s="1"/>
      <c r="S3108" s="1"/>
    </row>
    <row r="3109" spans="9:19" x14ac:dyDescent="0.3">
      <c r="I3109" s="1"/>
      <c r="S3109" s="1"/>
    </row>
    <row r="3110" spans="9:19" x14ac:dyDescent="0.3">
      <c r="I3110" s="1"/>
      <c r="S3110" s="1"/>
    </row>
    <row r="3111" spans="9:19" x14ac:dyDescent="0.3">
      <c r="I3111" s="1"/>
      <c r="S3111" s="1"/>
    </row>
    <row r="3112" spans="9:19" x14ac:dyDescent="0.3">
      <c r="I3112" s="1"/>
      <c r="S3112" s="1"/>
    </row>
    <row r="3113" spans="9:19" x14ac:dyDescent="0.3">
      <c r="I3113" s="1"/>
      <c r="S3113" s="1"/>
    </row>
    <row r="3114" spans="9:19" x14ac:dyDescent="0.3">
      <c r="I3114" s="1"/>
      <c r="S3114" s="1"/>
    </row>
    <row r="3115" spans="9:19" x14ac:dyDescent="0.3">
      <c r="I3115" s="1"/>
      <c r="S3115" s="1"/>
    </row>
    <row r="3116" spans="9:19" x14ac:dyDescent="0.3">
      <c r="I3116" s="1"/>
      <c r="S3116" s="1"/>
    </row>
    <row r="3117" spans="9:19" x14ac:dyDescent="0.3">
      <c r="I3117" s="1"/>
      <c r="S3117" s="1"/>
    </row>
    <row r="3118" spans="9:19" x14ac:dyDescent="0.3">
      <c r="I3118" s="1"/>
      <c r="S3118" s="1"/>
    </row>
    <row r="3119" spans="9:19" x14ac:dyDescent="0.3">
      <c r="I3119" s="1"/>
      <c r="S3119" s="1"/>
    </row>
    <row r="3120" spans="9:19" x14ac:dyDescent="0.3">
      <c r="I3120" s="1"/>
      <c r="S3120" s="1"/>
    </row>
    <row r="3121" spans="9:19" x14ac:dyDescent="0.3">
      <c r="I3121" s="1"/>
      <c r="S3121" s="1"/>
    </row>
    <row r="3122" spans="9:19" x14ac:dyDescent="0.3">
      <c r="I3122" s="1"/>
      <c r="S3122" s="1"/>
    </row>
    <row r="3123" spans="9:19" x14ac:dyDescent="0.3">
      <c r="I3123" s="1"/>
      <c r="S3123" s="1"/>
    </row>
    <row r="3124" spans="9:19" x14ac:dyDescent="0.3">
      <c r="I3124" s="1"/>
      <c r="S3124" s="1"/>
    </row>
    <row r="3125" spans="9:19" x14ac:dyDescent="0.3">
      <c r="I3125" s="1"/>
      <c r="S3125" s="1"/>
    </row>
    <row r="3126" spans="9:19" x14ac:dyDescent="0.3">
      <c r="I3126" s="1"/>
      <c r="S3126" s="1"/>
    </row>
    <row r="3127" spans="9:19" x14ac:dyDescent="0.3">
      <c r="I3127" s="1"/>
      <c r="S3127" s="1"/>
    </row>
    <row r="3128" spans="9:19" x14ac:dyDescent="0.3">
      <c r="I3128" s="1"/>
      <c r="S3128" s="1"/>
    </row>
    <row r="3129" spans="9:19" x14ac:dyDescent="0.3">
      <c r="I3129" s="1"/>
      <c r="S3129" s="1"/>
    </row>
    <row r="3130" spans="9:19" x14ac:dyDescent="0.3">
      <c r="I3130" s="1"/>
      <c r="S3130" s="1"/>
    </row>
    <row r="3131" spans="9:19" x14ac:dyDescent="0.3">
      <c r="I3131" s="1"/>
      <c r="S3131" s="1"/>
    </row>
    <row r="3132" spans="9:19" x14ac:dyDescent="0.3">
      <c r="I3132" s="1"/>
      <c r="S3132" s="1"/>
    </row>
    <row r="3133" spans="9:19" x14ac:dyDescent="0.3">
      <c r="I3133" s="1"/>
      <c r="S3133" s="1"/>
    </row>
    <row r="3134" spans="9:19" x14ac:dyDescent="0.3">
      <c r="I3134" s="1"/>
      <c r="S3134" s="1"/>
    </row>
    <row r="3135" spans="9:19" x14ac:dyDescent="0.3">
      <c r="I3135" s="1"/>
      <c r="S3135" s="1"/>
    </row>
    <row r="3136" spans="9:19" x14ac:dyDescent="0.3">
      <c r="I3136" s="1"/>
      <c r="S3136" s="1"/>
    </row>
    <row r="3137" spans="9:19" x14ac:dyDescent="0.3">
      <c r="I3137" s="1"/>
      <c r="S3137" s="1"/>
    </row>
    <row r="3138" spans="9:19" x14ac:dyDescent="0.3">
      <c r="I3138" s="1"/>
      <c r="S3138" s="1"/>
    </row>
    <row r="3139" spans="9:19" x14ac:dyDescent="0.3">
      <c r="I3139" s="1"/>
      <c r="S3139" s="1"/>
    </row>
    <row r="3140" spans="9:19" x14ac:dyDescent="0.3">
      <c r="I3140" s="1"/>
      <c r="S3140" s="1"/>
    </row>
    <row r="3141" spans="9:19" x14ac:dyDescent="0.3">
      <c r="I3141" s="1"/>
      <c r="S3141" s="1"/>
    </row>
    <row r="3142" spans="9:19" x14ac:dyDescent="0.3">
      <c r="I3142" s="1"/>
      <c r="S3142" s="1"/>
    </row>
    <row r="3143" spans="9:19" x14ac:dyDescent="0.3">
      <c r="I3143" s="1"/>
      <c r="S3143" s="1"/>
    </row>
    <row r="3144" spans="9:19" x14ac:dyDescent="0.3">
      <c r="I3144" s="1"/>
      <c r="S3144" s="1"/>
    </row>
    <row r="3145" spans="9:19" x14ac:dyDescent="0.3">
      <c r="I3145" s="1"/>
      <c r="S3145" s="1"/>
    </row>
    <row r="3146" spans="9:19" x14ac:dyDescent="0.3">
      <c r="I3146" s="1"/>
      <c r="S3146" s="1"/>
    </row>
    <row r="3147" spans="9:19" x14ac:dyDescent="0.3">
      <c r="I3147" s="1"/>
      <c r="S3147" s="1"/>
    </row>
    <row r="3148" spans="9:19" x14ac:dyDescent="0.3">
      <c r="I3148" s="1"/>
      <c r="S3148" s="1"/>
    </row>
    <row r="3149" spans="9:19" x14ac:dyDescent="0.3">
      <c r="I3149" s="1"/>
      <c r="S3149" s="1"/>
    </row>
    <row r="3150" spans="9:19" x14ac:dyDescent="0.3">
      <c r="I3150" s="1"/>
      <c r="S3150" s="1"/>
    </row>
    <row r="3151" spans="9:19" x14ac:dyDescent="0.3">
      <c r="I3151" s="1"/>
      <c r="S3151" s="1"/>
    </row>
    <row r="3152" spans="9:19" x14ac:dyDescent="0.3">
      <c r="I3152" s="1"/>
      <c r="S3152" s="1"/>
    </row>
    <row r="3153" spans="9:19" x14ac:dyDescent="0.3">
      <c r="I3153" s="1"/>
      <c r="S3153" s="1"/>
    </row>
    <row r="3154" spans="9:19" x14ac:dyDescent="0.3">
      <c r="I3154" s="1"/>
      <c r="S3154" s="1"/>
    </row>
    <row r="3155" spans="9:19" x14ac:dyDescent="0.3">
      <c r="I3155" s="1"/>
      <c r="S3155" s="1"/>
    </row>
    <row r="3156" spans="9:19" x14ac:dyDescent="0.3">
      <c r="I3156" s="1"/>
      <c r="S3156" s="1"/>
    </row>
    <row r="3157" spans="9:19" x14ac:dyDescent="0.3">
      <c r="I3157" s="1"/>
      <c r="S3157" s="1"/>
    </row>
    <row r="3158" spans="9:19" x14ac:dyDescent="0.3">
      <c r="I3158" s="1"/>
      <c r="S3158" s="1"/>
    </row>
    <row r="3159" spans="9:19" x14ac:dyDescent="0.3">
      <c r="I3159" s="1"/>
      <c r="S3159" s="1"/>
    </row>
    <row r="3160" spans="9:19" x14ac:dyDescent="0.3">
      <c r="I3160" s="1"/>
      <c r="S3160" s="1"/>
    </row>
    <row r="3161" spans="9:19" x14ac:dyDescent="0.3">
      <c r="I3161" s="1"/>
      <c r="S3161" s="1"/>
    </row>
    <row r="3162" spans="9:19" x14ac:dyDescent="0.3">
      <c r="I3162" s="1"/>
      <c r="S3162" s="1"/>
    </row>
    <row r="3163" spans="9:19" x14ac:dyDescent="0.3">
      <c r="I3163" s="1"/>
      <c r="S3163" s="1"/>
    </row>
    <row r="3164" spans="9:19" x14ac:dyDescent="0.3">
      <c r="I3164" s="1"/>
      <c r="S3164" s="1"/>
    </row>
    <row r="3165" spans="9:19" x14ac:dyDescent="0.3">
      <c r="I3165" s="1"/>
      <c r="S3165" s="1"/>
    </row>
    <row r="3166" spans="9:19" x14ac:dyDescent="0.3">
      <c r="I3166" s="1"/>
      <c r="S3166" s="1"/>
    </row>
    <row r="3167" spans="9:19" x14ac:dyDescent="0.3">
      <c r="I3167" s="1"/>
      <c r="S3167" s="1"/>
    </row>
    <row r="3168" spans="9:19" x14ac:dyDescent="0.3">
      <c r="I3168" s="1"/>
      <c r="S3168" s="1"/>
    </row>
    <row r="3169" spans="9:19" x14ac:dyDescent="0.3">
      <c r="I3169" s="1"/>
      <c r="S3169" s="1"/>
    </row>
    <row r="3170" spans="9:19" x14ac:dyDescent="0.3">
      <c r="I3170" s="1"/>
      <c r="S3170" s="1"/>
    </row>
    <row r="3171" spans="9:19" x14ac:dyDescent="0.3">
      <c r="I3171" s="1"/>
      <c r="S3171" s="1"/>
    </row>
    <row r="3172" spans="9:19" x14ac:dyDescent="0.3">
      <c r="I3172" s="1"/>
      <c r="S3172" s="1"/>
    </row>
    <row r="3173" spans="9:19" x14ac:dyDescent="0.3">
      <c r="I3173" s="1"/>
      <c r="S3173" s="1"/>
    </row>
    <row r="3174" spans="9:19" x14ac:dyDescent="0.3">
      <c r="I3174" s="1"/>
      <c r="S3174" s="1"/>
    </row>
    <row r="3175" spans="9:19" x14ac:dyDescent="0.3">
      <c r="I3175" s="1"/>
      <c r="S3175" s="1"/>
    </row>
    <row r="3176" spans="9:19" x14ac:dyDescent="0.3">
      <c r="I3176" s="1"/>
      <c r="S3176" s="1"/>
    </row>
    <row r="3177" spans="9:19" x14ac:dyDescent="0.3">
      <c r="I3177" s="1"/>
      <c r="S3177" s="1"/>
    </row>
    <row r="3178" spans="9:19" x14ac:dyDescent="0.3">
      <c r="I3178" s="1"/>
      <c r="S3178" s="1"/>
    </row>
    <row r="3179" spans="9:19" x14ac:dyDescent="0.3">
      <c r="I3179" s="1"/>
      <c r="S3179" s="1"/>
    </row>
    <row r="3180" spans="9:19" x14ac:dyDescent="0.3">
      <c r="I3180" s="1"/>
      <c r="S3180" s="1"/>
    </row>
    <row r="3181" spans="9:19" x14ac:dyDescent="0.3">
      <c r="I3181" s="1"/>
      <c r="S3181" s="1"/>
    </row>
    <row r="3182" spans="9:19" x14ac:dyDescent="0.3">
      <c r="I3182" s="1"/>
      <c r="S3182" s="1"/>
    </row>
    <row r="3183" spans="9:19" x14ac:dyDescent="0.3">
      <c r="I3183" s="1"/>
      <c r="S3183" s="1"/>
    </row>
    <row r="3184" spans="9:19" x14ac:dyDescent="0.3">
      <c r="I3184" s="1"/>
      <c r="S3184" s="1"/>
    </row>
    <row r="3185" spans="9:19" x14ac:dyDescent="0.3">
      <c r="I3185" s="1"/>
      <c r="S3185" s="1"/>
    </row>
    <row r="3186" spans="9:19" x14ac:dyDescent="0.3">
      <c r="I3186" s="1"/>
      <c r="S3186" s="1"/>
    </row>
    <row r="3187" spans="9:19" x14ac:dyDescent="0.3">
      <c r="I3187" s="1"/>
      <c r="S3187" s="1"/>
    </row>
    <row r="3188" spans="9:19" x14ac:dyDescent="0.3">
      <c r="I3188" s="1"/>
      <c r="S3188" s="1"/>
    </row>
    <row r="3189" spans="9:19" x14ac:dyDescent="0.3">
      <c r="I3189" s="1"/>
      <c r="S3189" s="1"/>
    </row>
    <row r="3190" spans="9:19" x14ac:dyDescent="0.3">
      <c r="I3190" s="1"/>
      <c r="S3190" s="1"/>
    </row>
    <row r="3191" spans="9:19" x14ac:dyDescent="0.3">
      <c r="I3191" s="1"/>
      <c r="S3191" s="1"/>
    </row>
    <row r="3192" spans="9:19" x14ac:dyDescent="0.3">
      <c r="I3192" s="1"/>
      <c r="S3192" s="1"/>
    </row>
    <row r="3193" spans="9:19" x14ac:dyDescent="0.3">
      <c r="I3193" s="1"/>
      <c r="S3193" s="1"/>
    </row>
    <row r="3194" spans="9:19" x14ac:dyDescent="0.3">
      <c r="I3194" s="1"/>
      <c r="S3194" s="1"/>
    </row>
    <row r="3195" spans="9:19" x14ac:dyDescent="0.3">
      <c r="I3195" s="1"/>
      <c r="S3195" s="1"/>
    </row>
    <row r="3196" spans="9:19" x14ac:dyDescent="0.3">
      <c r="I3196" s="1"/>
      <c r="S3196" s="1"/>
    </row>
    <row r="3197" spans="9:19" x14ac:dyDescent="0.3">
      <c r="I3197" s="1"/>
      <c r="S3197" s="1"/>
    </row>
    <row r="3198" spans="9:19" x14ac:dyDescent="0.3">
      <c r="I3198" s="1"/>
      <c r="S3198" s="1"/>
    </row>
    <row r="3199" spans="9:19" x14ac:dyDescent="0.3">
      <c r="I3199" s="1"/>
      <c r="S3199" s="1"/>
    </row>
    <row r="3200" spans="9:19" x14ac:dyDescent="0.3">
      <c r="I3200" s="1"/>
      <c r="S3200" s="1"/>
    </row>
    <row r="3201" spans="9:19" x14ac:dyDescent="0.3">
      <c r="I3201" s="1"/>
      <c r="S3201" s="1"/>
    </row>
    <row r="3202" spans="9:19" x14ac:dyDescent="0.3">
      <c r="I3202" s="1"/>
      <c r="S3202" s="1"/>
    </row>
    <row r="3203" spans="9:19" x14ac:dyDescent="0.3">
      <c r="I3203" s="1"/>
      <c r="S3203" s="1"/>
    </row>
    <row r="3204" spans="9:19" x14ac:dyDescent="0.3">
      <c r="I3204" s="1"/>
      <c r="S3204" s="1"/>
    </row>
    <row r="3205" spans="9:19" x14ac:dyDescent="0.3">
      <c r="I3205" s="1"/>
      <c r="S3205" s="1"/>
    </row>
    <row r="3206" spans="9:19" x14ac:dyDescent="0.3">
      <c r="I3206" s="1"/>
      <c r="S3206" s="1"/>
    </row>
    <row r="3207" spans="9:19" x14ac:dyDescent="0.3">
      <c r="I3207" s="1"/>
      <c r="S3207" s="1"/>
    </row>
    <row r="3208" spans="9:19" x14ac:dyDescent="0.3">
      <c r="I3208" s="1"/>
      <c r="S3208" s="1"/>
    </row>
    <row r="3209" spans="9:19" x14ac:dyDescent="0.3">
      <c r="I3209" s="1"/>
      <c r="S3209" s="1"/>
    </row>
    <row r="3210" spans="9:19" x14ac:dyDescent="0.3">
      <c r="I3210" s="1"/>
      <c r="S3210" s="1"/>
    </row>
    <row r="3211" spans="9:19" x14ac:dyDescent="0.3">
      <c r="I3211" s="1"/>
      <c r="S3211" s="1"/>
    </row>
    <row r="3212" spans="9:19" x14ac:dyDescent="0.3">
      <c r="I3212" s="1"/>
      <c r="S3212" s="1"/>
    </row>
    <row r="3213" spans="9:19" x14ac:dyDescent="0.3">
      <c r="I3213" s="1"/>
      <c r="S3213" s="1"/>
    </row>
    <row r="3214" spans="9:19" x14ac:dyDescent="0.3">
      <c r="I3214" s="1"/>
      <c r="S3214" s="1"/>
    </row>
    <row r="3215" spans="9:19" x14ac:dyDescent="0.3">
      <c r="I3215" s="1"/>
      <c r="S3215" s="1"/>
    </row>
    <row r="3216" spans="9:19" x14ac:dyDescent="0.3">
      <c r="I3216" s="1"/>
      <c r="S3216" s="1"/>
    </row>
    <row r="3217" spans="9:19" x14ac:dyDescent="0.3">
      <c r="I3217" s="1"/>
      <c r="S3217" s="1"/>
    </row>
    <row r="3218" spans="9:19" x14ac:dyDescent="0.3">
      <c r="I3218" s="1"/>
      <c r="S3218" s="1"/>
    </row>
    <row r="3219" spans="9:19" x14ac:dyDescent="0.3">
      <c r="I3219" s="1"/>
      <c r="S3219" s="1"/>
    </row>
    <row r="3220" spans="9:19" x14ac:dyDescent="0.3">
      <c r="I3220" s="1"/>
      <c r="S3220" s="1"/>
    </row>
    <row r="3221" spans="9:19" x14ac:dyDescent="0.3">
      <c r="I3221" s="1"/>
      <c r="S3221" s="1"/>
    </row>
    <row r="3222" spans="9:19" x14ac:dyDescent="0.3">
      <c r="I3222" s="1"/>
      <c r="S3222" s="1"/>
    </row>
    <row r="3223" spans="9:19" x14ac:dyDescent="0.3">
      <c r="I3223" s="1"/>
      <c r="S3223" s="1"/>
    </row>
    <row r="3224" spans="9:19" x14ac:dyDescent="0.3">
      <c r="I3224" s="1"/>
      <c r="S3224" s="1"/>
    </row>
    <row r="3225" spans="9:19" x14ac:dyDescent="0.3">
      <c r="I3225" s="1"/>
      <c r="S3225" s="1"/>
    </row>
    <row r="3226" spans="9:19" x14ac:dyDescent="0.3">
      <c r="I3226" s="1"/>
      <c r="S3226" s="1"/>
    </row>
    <row r="3227" spans="9:19" x14ac:dyDescent="0.3">
      <c r="I3227" s="1"/>
      <c r="S3227" s="1"/>
    </row>
    <row r="3228" spans="9:19" x14ac:dyDescent="0.3">
      <c r="I3228" s="1"/>
      <c r="S3228" s="1"/>
    </row>
    <row r="3229" spans="9:19" x14ac:dyDescent="0.3">
      <c r="I3229" s="1"/>
      <c r="S3229" s="1"/>
    </row>
    <row r="3230" spans="9:19" x14ac:dyDescent="0.3">
      <c r="I3230" s="1"/>
      <c r="S3230" s="1"/>
    </row>
    <row r="3231" spans="9:19" x14ac:dyDescent="0.3">
      <c r="I3231" s="1"/>
      <c r="S3231" s="1"/>
    </row>
    <row r="3232" spans="9:19" x14ac:dyDescent="0.3">
      <c r="I3232" s="1"/>
      <c r="S3232" s="1"/>
    </row>
    <row r="3233" spans="9:19" x14ac:dyDescent="0.3">
      <c r="I3233" s="1"/>
      <c r="S3233" s="1"/>
    </row>
    <row r="3234" spans="9:19" x14ac:dyDescent="0.3">
      <c r="I3234" s="1"/>
      <c r="S3234" s="1"/>
    </row>
    <row r="3235" spans="9:19" x14ac:dyDescent="0.3">
      <c r="I3235" s="1"/>
      <c r="S3235" s="1"/>
    </row>
    <row r="3236" spans="9:19" x14ac:dyDescent="0.3">
      <c r="I3236" s="1"/>
      <c r="S3236" s="1"/>
    </row>
    <row r="3237" spans="9:19" x14ac:dyDescent="0.3">
      <c r="I3237" s="1"/>
      <c r="S3237" s="1"/>
    </row>
    <row r="3238" spans="9:19" x14ac:dyDescent="0.3">
      <c r="I3238" s="1"/>
      <c r="S3238" s="1"/>
    </row>
    <row r="3239" spans="9:19" x14ac:dyDescent="0.3">
      <c r="I3239" s="1"/>
      <c r="S3239" s="1"/>
    </row>
    <row r="3240" spans="9:19" x14ac:dyDescent="0.3">
      <c r="I3240" s="1"/>
      <c r="S3240" s="1"/>
    </row>
    <row r="3241" spans="9:19" x14ac:dyDescent="0.3">
      <c r="I3241" s="1"/>
      <c r="S3241" s="1"/>
    </row>
    <row r="3242" spans="9:19" x14ac:dyDescent="0.3">
      <c r="I3242" s="1"/>
      <c r="S3242" s="1"/>
    </row>
    <row r="3243" spans="9:19" x14ac:dyDescent="0.3">
      <c r="I3243" s="1"/>
      <c r="S3243" s="1"/>
    </row>
    <row r="3244" spans="9:19" x14ac:dyDescent="0.3">
      <c r="I3244" s="1"/>
      <c r="S3244" s="1"/>
    </row>
    <row r="3245" spans="9:19" x14ac:dyDescent="0.3">
      <c r="I3245" s="1"/>
      <c r="S3245" s="1"/>
    </row>
    <row r="3246" spans="9:19" x14ac:dyDescent="0.3">
      <c r="I3246" s="1"/>
      <c r="S3246" s="1"/>
    </row>
    <row r="3247" spans="9:19" x14ac:dyDescent="0.3">
      <c r="I3247" s="1"/>
      <c r="S3247" s="1"/>
    </row>
    <row r="3248" spans="9:19" x14ac:dyDescent="0.3">
      <c r="I3248" s="1"/>
      <c r="S3248" s="1"/>
    </row>
    <row r="3249" spans="9:19" x14ac:dyDescent="0.3">
      <c r="I3249" s="1"/>
      <c r="S3249" s="1"/>
    </row>
    <row r="3250" spans="9:19" x14ac:dyDescent="0.3">
      <c r="I3250" s="1"/>
      <c r="S3250" s="1"/>
    </row>
    <row r="3251" spans="9:19" x14ac:dyDescent="0.3">
      <c r="I3251" s="1"/>
      <c r="S3251" s="1"/>
    </row>
    <row r="3252" spans="9:19" x14ac:dyDescent="0.3">
      <c r="I3252" s="1"/>
      <c r="S3252" s="1"/>
    </row>
    <row r="3253" spans="9:19" x14ac:dyDescent="0.3">
      <c r="I3253" s="1"/>
      <c r="S3253" s="1"/>
    </row>
    <row r="3254" spans="9:19" x14ac:dyDescent="0.3">
      <c r="I3254" s="1"/>
      <c r="S3254" s="1"/>
    </row>
    <row r="3255" spans="9:19" x14ac:dyDescent="0.3">
      <c r="I3255" s="1"/>
      <c r="S3255" s="1"/>
    </row>
    <row r="3256" spans="9:19" x14ac:dyDescent="0.3">
      <c r="I3256" s="1"/>
      <c r="S3256" s="1"/>
    </row>
    <row r="3257" spans="9:19" x14ac:dyDescent="0.3">
      <c r="I3257" s="1"/>
      <c r="S3257" s="1"/>
    </row>
    <row r="3258" spans="9:19" x14ac:dyDescent="0.3">
      <c r="I3258" s="1"/>
      <c r="S3258" s="1"/>
    </row>
    <row r="3259" spans="9:19" x14ac:dyDescent="0.3">
      <c r="I3259" s="1"/>
      <c r="S3259" s="1"/>
    </row>
    <row r="3260" spans="9:19" x14ac:dyDescent="0.3">
      <c r="I3260" s="1"/>
      <c r="S3260" s="1"/>
    </row>
    <row r="3261" spans="9:19" x14ac:dyDescent="0.3">
      <c r="I3261" s="1"/>
      <c r="S3261" s="1"/>
    </row>
    <row r="3262" spans="9:19" x14ac:dyDescent="0.3">
      <c r="I3262" s="1"/>
      <c r="S3262" s="1"/>
    </row>
    <row r="3263" spans="9:19" x14ac:dyDescent="0.3">
      <c r="I3263" s="1"/>
      <c r="S3263" s="1"/>
    </row>
    <row r="3264" spans="9:19" x14ac:dyDescent="0.3">
      <c r="I3264" s="1"/>
      <c r="S3264" s="1"/>
    </row>
    <row r="3265" spans="9:19" x14ac:dyDescent="0.3">
      <c r="I3265" s="1"/>
      <c r="S3265" s="1"/>
    </row>
    <row r="3266" spans="9:19" x14ac:dyDescent="0.3">
      <c r="I3266" s="1"/>
      <c r="S3266" s="1"/>
    </row>
    <row r="3267" spans="9:19" x14ac:dyDescent="0.3">
      <c r="I3267" s="1"/>
      <c r="S3267" s="1"/>
    </row>
    <row r="3268" spans="9:19" x14ac:dyDescent="0.3">
      <c r="I3268" s="1"/>
      <c r="S3268" s="1"/>
    </row>
    <row r="3269" spans="9:19" x14ac:dyDescent="0.3">
      <c r="I3269" s="1"/>
      <c r="S3269" s="1"/>
    </row>
    <row r="3270" spans="9:19" x14ac:dyDescent="0.3">
      <c r="I3270" s="1"/>
      <c r="S3270" s="1"/>
    </row>
    <row r="3271" spans="9:19" x14ac:dyDescent="0.3">
      <c r="I3271" s="1"/>
      <c r="S3271" s="1"/>
    </row>
    <row r="3272" spans="9:19" x14ac:dyDescent="0.3">
      <c r="I3272" s="1"/>
      <c r="S3272" s="1"/>
    </row>
    <row r="3273" spans="9:19" x14ac:dyDescent="0.3">
      <c r="I3273" s="1"/>
      <c r="S3273" s="1"/>
    </row>
    <row r="3274" spans="9:19" x14ac:dyDescent="0.3">
      <c r="I3274" s="1"/>
      <c r="S3274" s="1"/>
    </row>
    <row r="3275" spans="9:19" x14ac:dyDescent="0.3">
      <c r="I3275" s="1"/>
      <c r="S3275" s="1"/>
    </row>
    <row r="3276" spans="9:19" x14ac:dyDescent="0.3">
      <c r="I3276" s="1"/>
      <c r="S3276" s="1"/>
    </row>
    <row r="3277" spans="9:19" x14ac:dyDescent="0.3">
      <c r="I3277" s="1"/>
      <c r="S3277" s="1"/>
    </row>
    <row r="3278" spans="9:19" x14ac:dyDescent="0.3">
      <c r="I3278" s="1"/>
      <c r="S3278" s="1"/>
    </row>
    <row r="3279" spans="9:19" x14ac:dyDescent="0.3">
      <c r="I3279" s="1"/>
      <c r="S3279" s="1"/>
    </row>
    <row r="3280" spans="9:19" x14ac:dyDescent="0.3">
      <c r="I3280" s="1"/>
      <c r="S3280" s="1"/>
    </row>
    <row r="3281" spans="9:19" x14ac:dyDescent="0.3">
      <c r="I3281" s="1"/>
      <c r="S3281" s="1"/>
    </row>
    <row r="3282" spans="9:19" x14ac:dyDescent="0.3">
      <c r="I3282" s="1"/>
      <c r="S3282" s="1"/>
    </row>
    <row r="3283" spans="9:19" x14ac:dyDescent="0.3">
      <c r="I3283" s="1"/>
      <c r="S3283" s="1"/>
    </row>
    <row r="3284" spans="9:19" x14ac:dyDescent="0.3">
      <c r="I3284" s="1"/>
      <c r="S3284" s="1"/>
    </row>
    <row r="3285" spans="9:19" x14ac:dyDescent="0.3">
      <c r="I3285" s="1"/>
      <c r="S3285" s="1"/>
    </row>
    <row r="3286" spans="9:19" x14ac:dyDescent="0.3">
      <c r="I3286" s="1"/>
      <c r="S3286" s="1"/>
    </row>
    <row r="3287" spans="9:19" x14ac:dyDescent="0.3">
      <c r="I3287" s="1"/>
      <c r="S3287" s="1"/>
    </row>
    <row r="3288" spans="9:19" x14ac:dyDescent="0.3">
      <c r="I3288" s="1"/>
      <c r="S3288" s="1"/>
    </row>
    <row r="3289" spans="9:19" x14ac:dyDescent="0.3">
      <c r="I3289" s="1"/>
      <c r="S3289" s="1"/>
    </row>
    <row r="3290" spans="9:19" x14ac:dyDescent="0.3">
      <c r="I3290" s="1"/>
      <c r="S3290" s="1"/>
    </row>
    <row r="3291" spans="9:19" x14ac:dyDescent="0.3">
      <c r="I3291" s="1"/>
      <c r="S3291" s="1"/>
    </row>
    <row r="3292" spans="9:19" x14ac:dyDescent="0.3">
      <c r="I3292" s="1"/>
      <c r="S3292" s="1"/>
    </row>
    <row r="3293" spans="9:19" x14ac:dyDescent="0.3">
      <c r="I3293" s="1"/>
      <c r="S3293" s="1"/>
    </row>
    <row r="3294" spans="9:19" x14ac:dyDescent="0.3">
      <c r="I3294" s="1"/>
      <c r="S3294" s="1"/>
    </row>
    <row r="3295" spans="9:19" x14ac:dyDescent="0.3">
      <c r="I3295" s="1"/>
      <c r="S3295" s="1"/>
    </row>
    <row r="3296" spans="9:19" x14ac:dyDescent="0.3">
      <c r="I3296" s="1"/>
      <c r="S3296" s="1"/>
    </row>
    <row r="3297" spans="9:19" x14ac:dyDescent="0.3">
      <c r="I3297" s="1"/>
      <c r="S3297" s="1"/>
    </row>
    <row r="3298" spans="9:19" x14ac:dyDescent="0.3">
      <c r="I3298" s="1"/>
      <c r="S3298" s="1"/>
    </row>
    <row r="3299" spans="9:19" x14ac:dyDescent="0.3">
      <c r="I3299" s="1"/>
      <c r="S3299" s="1"/>
    </row>
    <row r="3300" spans="9:19" x14ac:dyDescent="0.3">
      <c r="I3300" s="1"/>
      <c r="S3300" s="1"/>
    </row>
    <row r="3301" spans="9:19" x14ac:dyDescent="0.3">
      <c r="I3301" s="1"/>
      <c r="S3301" s="1"/>
    </row>
    <row r="3302" spans="9:19" x14ac:dyDescent="0.3">
      <c r="I3302" s="1"/>
      <c r="S3302" s="1"/>
    </row>
    <row r="3303" spans="9:19" x14ac:dyDescent="0.3">
      <c r="I3303" s="1"/>
      <c r="S3303" s="1"/>
    </row>
    <row r="3304" spans="9:19" x14ac:dyDescent="0.3">
      <c r="I3304" s="1"/>
      <c r="S3304" s="1"/>
    </row>
    <row r="3305" spans="9:19" x14ac:dyDescent="0.3">
      <c r="I3305" s="1"/>
      <c r="S3305" s="1"/>
    </row>
    <row r="3306" spans="9:19" x14ac:dyDescent="0.3">
      <c r="I3306" s="1"/>
      <c r="S3306" s="1"/>
    </row>
    <row r="3307" spans="9:19" x14ac:dyDescent="0.3">
      <c r="I3307" s="1"/>
      <c r="S3307" s="1"/>
    </row>
    <row r="3308" spans="9:19" x14ac:dyDescent="0.3">
      <c r="I3308" s="1"/>
      <c r="S3308" s="1"/>
    </row>
    <row r="3309" spans="9:19" x14ac:dyDescent="0.3">
      <c r="I3309" s="1"/>
      <c r="S3309" s="1"/>
    </row>
    <row r="3310" spans="9:19" x14ac:dyDescent="0.3">
      <c r="I3310" s="1"/>
      <c r="S3310" s="1"/>
    </row>
    <row r="3311" spans="9:19" x14ac:dyDescent="0.3">
      <c r="I3311" s="1"/>
      <c r="S3311" s="1"/>
    </row>
    <row r="3312" spans="9:19" x14ac:dyDescent="0.3">
      <c r="I3312" s="1"/>
      <c r="S3312" s="1"/>
    </row>
    <row r="3313" spans="9:19" x14ac:dyDescent="0.3">
      <c r="I3313" s="1"/>
      <c r="S3313" s="1"/>
    </row>
    <row r="3314" spans="9:19" x14ac:dyDescent="0.3">
      <c r="I3314" s="1"/>
      <c r="S3314" s="1"/>
    </row>
    <row r="3315" spans="9:19" x14ac:dyDescent="0.3">
      <c r="I3315" s="1"/>
      <c r="S3315" s="1"/>
    </row>
    <row r="3316" spans="9:19" x14ac:dyDescent="0.3">
      <c r="I3316" s="1"/>
      <c r="S3316" s="1"/>
    </row>
    <row r="3317" spans="9:19" x14ac:dyDescent="0.3">
      <c r="I3317" s="1"/>
      <c r="S3317" s="1"/>
    </row>
    <row r="3318" spans="9:19" x14ac:dyDescent="0.3">
      <c r="I3318" s="1"/>
      <c r="S3318" s="1"/>
    </row>
    <row r="3319" spans="9:19" x14ac:dyDescent="0.3">
      <c r="I3319" s="1"/>
      <c r="S3319" s="1"/>
    </row>
    <row r="3320" spans="9:19" x14ac:dyDescent="0.3">
      <c r="I3320" s="1"/>
      <c r="S3320" s="1"/>
    </row>
    <row r="3321" spans="9:19" x14ac:dyDescent="0.3">
      <c r="I3321" s="1"/>
      <c r="S3321" s="1"/>
    </row>
    <row r="3322" spans="9:19" x14ac:dyDescent="0.3">
      <c r="I3322" s="1"/>
      <c r="S3322" s="1"/>
    </row>
    <row r="3323" spans="9:19" x14ac:dyDescent="0.3">
      <c r="I3323" s="1"/>
      <c r="S3323" s="1"/>
    </row>
    <row r="3324" spans="9:19" x14ac:dyDescent="0.3">
      <c r="I3324" s="1"/>
      <c r="S3324" s="1"/>
    </row>
    <row r="3325" spans="9:19" x14ac:dyDescent="0.3">
      <c r="I3325" s="1"/>
      <c r="S3325" s="1"/>
    </row>
    <row r="3326" spans="9:19" x14ac:dyDescent="0.3">
      <c r="I3326" s="1"/>
      <c r="S3326" s="1"/>
    </row>
    <row r="3327" spans="9:19" x14ac:dyDescent="0.3">
      <c r="I3327" s="1"/>
      <c r="S3327" s="1"/>
    </row>
    <row r="3328" spans="9:19" x14ac:dyDescent="0.3">
      <c r="I3328" s="1"/>
      <c r="S3328" s="1"/>
    </row>
    <row r="3329" spans="9:19" x14ac:dyDescent="0.3">
      <c r="I3329" s="1"/>
      <c r="S3329" s="1"/>
    </row>
    <row r="3330" spans="9:19" x14ac:dyDescent="0.3">
      <c r="I3330" s="1"/>
      <c r="S3330" s="1"/>
    </row>
    <row r="3331" spans="9:19" x14ac:dyDescent="0.3">
      <c r="I3331" s="1"/>
      <c r="S3331" s="1"/>
    </row>
    <row r="3332" spans="9:19" x14ac:dyDescent="0.3">
      <c r="I3332" s="1"/>
      <c r="S3332" s="1"/>
    </row>
    <row r="3333" spans="9:19" x14ac:dyDescent="0.3">
      <c r="I3333" s="1"/>
      <c r="S3333" s="1"/>
    </row>
    <row r="3334" spans="9:19" x14ac:dyDescent="0.3">
      <c r="I3334" s="1"/>
      <c r="S3334" s="1"/>
    </row>
    <row r="3335" spans="9:19" x14ac:dyDescent="0.3">
      <c r="I3335" s="1"/>
      <c r="S3335" s="1"/>
    </row>
    <row r="3336" spans="9:19" x14ac:dyDescent="0.3">
      <c r="I3336" s="1"/>
      <c r="S3336" s="1"/>
    </row>
    <row r="3337" spans="9:19" x14ac:dyDescent="0.3">
      <c r="I3337" s="1"/>
      <c r="S3337" s="1"/>
    </row>
    <row r="3338" spans="9:19" x14ac:dyDescent="0.3">
      <c r="I3338" s="1"/>
      <c r="S3338" s="1"/>
    </row>
    <row r="3339" spans="9:19" x14ac:dyDescent="0.3">
      <c r="I3339" s="1"/>
      <c r="S3339" s="1"/>
    </row>
    <row r="3340" spans="9:19" x14ac:dyDescent="0.3">
      <c r="I3340" s="1"/>
      <c r="S3340" s="1"/>
    </row>
    <row r="3341" spans="9:19" x14ac:dyDescent="0.3">
      <c r="I3341" s="1"/>
      <c r="S3341" s="1"/>
    </row>
    <row r="3342" spans="9:19" x14ac:dyDescent="0.3">
      <c r="I3342" s="1"/>
      <c r="S3342" s="1"/>
    </row>
    <row r="3343" spans="9:19" x14ac:dyDescent="0.3">
      <c r="I3343" s="1"/>
      <c r="S3343" s="1"/>
    </row>
    <row r="3344" spans="9:19" x14ac:dyDescent="0.3">
      <c r="I3344" s="1"/>
      <c r="S3344" s="1"/>
    </row>
    <row r="3345" spans="9:19" x14ac:dyDescent="0.3">
      <c r="I3345" s="1"/>
      <c r="S3345" s="1"/>
    </row>
    <row r="3346" spans="9:19" x14ac:dyDescent="0.3">
      <c r="I3346" s="1"/>
      <c r="S3346" s="1"/>
    </row>
    <row r="3347" spans="9:19" x14ac:dyDescent="0.3">
      <c r="I3347" s="1"/>
      <c r="S3347" s="1"/>
    </row>
    <row r="3348" spans="9:19" x14ac:dyDescent="0.3">
      <c r="I3348" s="1"/>
      <c r="S3348" s="1"/>
    </row>
    <row r="3349" spans="9:19" x14ac:dyDescent="0.3">
      <c r="I3349" s="1"/>
      <c r="S3349" s="1"/>
    </row>
    <row r="3350" spans="9:19" x14ac:dyDescent="0.3">
      <c r="I3350" s="1"/>
      <c r="S3350" s="1"/>
    </row>
    <row r="3351" spans="9:19" x14ac:dyDescent="0.3">
      <c r="I3351" s="1"/>
      <c r="S3351" s="1"/>
    </row>
    <row r="3352" spans="9:19" x14ac:dyDescent="0.3">
      <c r="I3352" s="1"/>
      <c r="S3352" s="1"/>
    </row>
    <row r="3353" spans="9:19" x14ac:dyDescent="0.3">
      <c r="I3353" s="1"/>
      <c r="S3353" s="1"/>
    </row>
    <row r="3354" spans="9:19" x14ac:dyDescent="0.3">
      <c r="I3354" s="1"/>
      <c r="S3354" s="1"/>
    </row>
    <row r="3355" spans="9:19" x14ac:dyDescent="0.3">
      <c r="I3355" s="1"/>
      <c r="S3355" s="1"/>
    </row>
    <row r="3356" spans="9:19" x14ac:dyDescent="0.3">
      <c r="I3356" s="1"/>
      <c r="S3356" s="1"/>
    </row>
    <row r="3357" spans="9:19" x14ac:dyDescent="0.3">
      <c r="I3357" s="1"/>
      <c r="S3357" s="1"/>
    </row>
    <row r="3358" spans="9:19" x14ac:dyDescent="0.3">
      <c r="I3358" s="1"/>
      <c r="S3358" s="1"/>
    </row>
    <row r="3359" spans="9:19" x14ac:dyDescent="0.3">
      <c r="I3359" s="1"/>
      <c r="S3359" s="1"/>
    </row>
    <row r="3360" spans="9:19" x14ac:dyDescent="0.3">
      <c r="I3360" s="1"/>
      <c r="S3360" s="1"/>
    </row>
    <row r="3361" spans="9:19" x14ac:dyDescent="0.3">
      <c r="I3361" s="1"/>
      <c r="S3361" s="1"/>
    </row>
    <row r="3362" spans="9:19" x14ac:dyDescent="0.3">
      <c r="I3362" s="1"/>
      <c r="S3362" s="1"/>
    </row>
    <row r="3363" spans="9:19" x14ac:dyDescent="0.3">
      <c r="I3363" s="1"/>
      <c r="S3363" s="1"/>
    </row>
    <row r="3364" spans="9:19" x14ac:dyDescent="0.3">
      <c r="I3364" s="1"/>
      <c r="S3364" s="1"/>
    </row>
    <row r="3365" spans="9:19" x14ac:dyDescent="0.3">
      <c r="I3365" s="1"/>
      <c r="S3365" s="1"/>
    </row>
    <row r="3366" spans="9:19" x14ac:dyDescent="0.3">
      <c r="I3366" s="1"/>
      <c r="S3366" s="1"/>
    </row>
    <row r="3367" spans="9:19" x14ac:dyDescent="0.3">
      <c r="I3367" s="1"/>
      <c r="S3367" s="1"/>
    </row>
    <row r="3368" spans="9:19" x14ac:dyDescent="0.3">
      <c r="I3368" s="1"/>
      <c r="S3368" s="1"/>
    </row>
    <row r="3369" spans="9:19" x14ac:dyDescent="0.3">
      <c r="I3369" s="1"/>
      <c r="S3369" s="1"/>
    </row>
    <row r="3370" spans="9:19" x14ac:dyDescent="0.3">
      <c r="I3370" s="1"/>
      <c r="S3370" s="1"/>
    </row>
    <row r="3371" spans="9:19" x14ac:dyDescent="0.3">
      <c r="I3371" s="1"/>
      <c r="S3371" s="1"/>
    </row>
    <row r="3372" spans="9:19" x14ac:dyDescent="0.3">
      <c r="I3372" s="1"/>
      <c r="S3372" s="1"/>
    </row>
    <row r="3373" spans="9:19" x14ac:dyDescent="0.3">
      <c r="I3373" s="1"/>
      <c r="S3373" s="1"/>
    </row>
    <row r="3374" spans="9:19" x14ac:dyDescent="0.3">
      <c r="I3374" s="1"/>
      <c r="S3374" s="1"/>
    </row>
    <row r="3375" spans="9:19" x14ac:dyDescent="0.3">
      <c r="I3375" s="1"/>
      <c r="S3375" s="1"/>
    </row>
    <row r="3376" spans="9:19" x14ac:dyDescent="0.3">
      <c r="I3376" s="1"/>
      <c r="S3376" s="1"/>
    </row>
    <row r="3377" spans="9:19" x14ac:dyDescent="0.3">
      <c r="I3377" s="1"/>
      <c r="S3377" s="1"/>
    </row>
    <row r="3378" spans="9:19" x14ac:dyDescent="0.3">
      <c r="I3378" s="1"/>
      <c r="S3378" s="1"/>
    </row>
    <row r="3379" spans="9:19" x14ac:dyDescent="0.3">
      <c r="I3379" s="1"/>
      <c r="S3379" s="1"/>
    </row>
    <row r="3380" spans="9:19" x14ac:dyDescent="0.3">
      <c r="I3380" s="1"/>
      <c r="S3380" s="1"/>
    </row>
    <row r="3381" spans="9:19" x14ac:dyDescent="0.3">
      <c r="I3381" s="1"/>
      <c r="S3381" s="1"/>
    </row>
    <row r="3382" spans="9:19" x14ac:dyDescent="0.3">
      <c r="I3382" s="1"/>
      <c r="S3382" s="1"/>
    </row>
    <row r="3383" spans="9:19" x14ac:dyDescent="0.3">
      <c r="I3383" s="1"/>
      <c r="S3383" s="1"/>
    </row>
    <row r="3384" spans="9:19" x14ac:dyDescent="0.3">
      <c r="I3384" s="1"/>
      <c r="S3384" s="1"/>
    </row>
    <row r="3385" spans="9:19" x14ac:dyDescent="0.3">
      <c r="I3385" s="1"/>
      <c r="S3385" s="1"/>
    </row>
    <row r="3386" spans="9:19" x14ac:dyDescent="0.3">
      <c r="I3386" s="1"/>
      <c r="S3386" s="1"/>
    </row>
    <row r="3387" spans="9:19" x14ac:dyDescent="0.3">
      <c r="I3387" s="1"/>
      <c r="S3387" s="1"/>
    </row>
    <row r="3388" spans="9:19" x14ac:dyDescent="0.3">
      <c r="I3388" s="1"/>
      <c r="S3388" s="1"/>
    </row>
    <row r="3389" spans="9:19" x14ac:dyDescent="0.3">
      <c r="I3389" s="1"/>
      <c r="S3389" s="1"/>
    </row>
    <row r="3390" spans="9:19" x14ac:dyDescent="0.3">
      <c r="I3390" s="1"/>
      <c r="S3390" s="1"/>
    </row>
    <row r="3391" spans="9:19" x14ac:dyDescent="0.3">
      <c r="I3391" s="1"/>
      <c r="S3391" s="1"/>
    </row>
    <row r="3392" spans="9:19" x14ac:dyDescent="0.3">
      <c r="I3392" s="1"/>
      <c r="S3392" s="1"/>
    </row>
    <row r="3393" spans="9:19" x14ac:dyDescent="0.3">
      <c r="I3393" s="1"/>
      <c r="S3393" s="1"/>
    </row>
    <row r="3394" spans="9:19" x14ac:dyDescent="0.3">
      <c r="I3394" s="1"/>
      <c r="S3394" s="1"/>
    </row>
    <row r="3395" spans="9:19" x14ac:dyDescent="0.3">
      <c r="I3395" s="1"/>
      <c r="S3395" s="1"/>
    </row>
    <row r="3396" spans="9:19" x14ac:dyDescent="0.3">
      <c r="I3396" s="1"/>
      <c r="S3396" s="1"/>
    </row>
    <row r="3397" spans="9:19" x14ac:dyDescent="0.3">
      <c r="I3397" s="1"/>
      <c r="S3397" s="1"/>
    </row>
    <row r="3398" spans="9:19" x14ac:dyDescent="0.3">
      <c r="I3398" s="1"/>
      <c r="S3398" s="1"/>
    </row>
    <row r="3399" spans="9:19" x14ac:dyDescent="0.3">
      <c r="I3399" s="1"/>
      <c r="S3399" s="1"/>
    </row>
    <row r="3400" spans="9:19" x14ac:dyDescent="0.3">
      <c r="I3400" s="1"/>
      <c r="S3400" s="1"/>
    </row>
    <row r="3401" spans="9:19" x14ac:dyDescent="0.3">
      <c r="I3401" s="1"/>
      <c r="S3401" s="1"/>
    </row>
    <row r="3402" spans="9:19" x14ac:dyDescent="0.3">
      <c r="I3402" s="1"/>
      <c r="S3402" s="1"/>
    </row>
    <row r="3403" spans="9:19" x14ac:dyDescent="0.3">
      <c r="I3403" s="1"/>
      <c r="S3403" s="1"/>
    </row>
    <row r="3404" spans="9:19" x14ac:dyDescent="0.3">
      <c r="I3404" s="1"/>
      <c r="S3404" s="1"/>
    </row>
    <row r="3405" spans="9:19" x14ac:dyDescent="0.3">
      <c r="I3405" s="1"/>
      <c r="S3405" s="1"/>
    </row>
    <row r="3406" spans="9:19" x14ac:dyDescent="0.3">
      <c r="I3406" s="1"/>
      <c r="S3406" s="1"/>
    </row>
    <row r="3407" spans="9:19" x14ac:dyDescent="0.3">
      <c r="I3407" s="1"/>
      <c r="S3407" s="1"/>
    </row>
    <row r="3408" spans="9:19" x14ac:dyDescent="0.3">
      <c r="I3408" s="1"/>
      <c r="S3408" s="1"/>
    </row>
    <row r="3409" spans="9:19" x14ac:dyDescent="0.3">
      <c r="I3409" s="1"/>
      <c r="S3409" s="1"/>
    </row>
    <row r="3410" spans="9:19" x14ac:dyDescent="0.3">
      <c r="I3410" s="1"/>
      <c r="S3410" s="1"/>
    </row>
    <row r="3411" spans="9:19" x14ac:dyDescent="0.3">
      <c r="I3411" s="1"/>
      <c r="S3411" s="1"/>
    </row>
    <row r="3412" spans="9:19" x14ac:dyDescent="0.3">
      <c r="I3412" s="1"/>
      <c r="S3412" s="1"/>
    </row>
    <row r="3413" spans="9:19" x14ac:dyDescent="0.3">
      <c r="I3413" s="1"/>
      <c r="S3413" s="1"/>
    </row>
    <row r="3414" spans="9:19" x14ac:dyDescent="0.3">
      <c r="I3414" s="1"/>
      <c r="S3414" s="1"/>
    </row>
    <row r="3415" spans="9:19" x14ac:dyDescent="0.3">
      <c r="I3415" s="1"/>
      <c r="S3415" s="1"/>
    </row>
    <row r="3416" spans="9:19" x14ac:dyDescent="0.3">
      <c r="I3416" s="1"/>
      <c r="S3416" s="1"/>
    </row>
    <row r="3417" spans="9:19" x14ac:dyDescent="0.3">
      <c r="I3417" s="1"/>
      <c r="S3417" s="1"/>
    </row>
    <row r="3418" spans="9:19" x14ac:dyDescent="0.3">
      <c r="I3418" s="1"/>
      <c r="S3418" s="1"/>
    </row>
    <row r="3419" spans="9:19" x14ac:dyDescent="0.3">
      <c r="I3419" s="1"/>
      <c r="S3419" s="1"/>
    </row>
    <row r="3420" spans="9:19" x14ac:dyDescent="0.3">
      <c r="I3420" s="1"/>
      <c r="S3420" s="1"/>
    </row>
    <row r="3421" spans="9:19" x14ac:dyDescent="0.3">
      <c r="I3421" s="1"/>
      <c r="S3421" s="1"/>
    </row>
    <row r="3422" spans="9:19" x14ac:dyDescent="0.3">
      <c r="I3422" s="1"/>
      <c r="S3422" s="1"/>
    </row>
    <row r="3423" spans="9:19" x14ac:dyDescent="0.3">
      <c r="I3423" s="1"/>
      <c r="S3423" s="1"/>
    </row>
    <row r="3424" spans="9:19" x14ac:dyDescent="0.3">
      <c r="I3424" s="1"/>
      <c r="S3424" s="1"/>
    </row>
    <row r="3425" spans="9:19" x14ac:dyDescent="0.3">
      <c r="I3425" s="1"/>
      <c r="S3425" s="1"/>
    </row>
    <row r="3426" spans="9:19" x14ac:dyDescent="0.3">
      <c r="I3426" s="1"/>
      <c r="S3426" s="1"/>
    </row>
    <row r="3427" spans="9:19" x14ac:dyDescent="0.3">
      <c r="I3427" s="1"/>
      <c r="S3427" s="1"/>
    </row>
    <row r="3428" spans="9:19" x14ac:dyDescent="0.3">
      <c r="I3428" s="1"/>
      <c r="S3428" s="1"/>
    </row>
    <row r="3429" spans="9:19" x14ac:dyDescent="0.3">
      <c r="I3429" s="1"/>
      <c r="S3429" s="1"/>
    </row>
    <row r="3430" spans="9:19" x14ac:dyDescent="0.3">
      <c r="I3430" s="1"/>
      <c r="S3430" s="1"/>
    </row>
    <row r="3431" spans="9:19" x14ac:dyDescent="0.3">
      <c r="I3431" s="1"/>
      <c r="S3431" s="1"/>
    </row>
    <row r="3432" spans="9:19" x14ac:dyDescent="0.3">
      <c r="I3432" s="1"/>
      <c r="S3432" s="1"/>
    </row>
    <row r="3433" spans="9:19" x14ac:dyDescent="0.3">
      <c r="I3433" s="1"/>
      <c r="S3433" s="1"/>
    </row>
    <row r="3434" spans="9:19" x14ac:dyDescent="0.3">
      <c r="I3434" s="1"/>
      <c r="S3434" s="1"/>
    </row>
    <row r="3435" spans="9:19" x14ac:dyDescent="0.3">
      <c r="I3435" s="1"/>
      <c r="S3435" s="1"/>
    </row>
    <row r="3436" spans="9:19" x14ac:dyDescent="0.3">
      <c r="I3436" s="1"/>
      <c r="S3436" s="1"/>
    </row>
    <row r="3437" spans="9:19" x14ac:dyDescent="0.3">
      <c r="I3437" s="1"/>
      <c r="S3437" s="1"/>
    </row>
    <row r="3438" spans="9:19" x14ac:dyDescent="0.3">
      <c r="I3438" s="1"/>
      <c r="S3438" s="1"/>
    </row>
    <row r="3439" spans="9:19" x14ac:dyDescent="0.3">
      <c r="I3439" s="1"/>
      <c r="S3439" s="1"/>
    </row>
    <row r="3440" spans="9:19" x14ac:dyDescent="0.3">
      <c r="I3440" s="1"/>
      <c r="S3440" s="1"/>
    </row>
    <row r="3441" spans="9:19" x14ac:dyDescent="0.3">
      <c r="I3441" s="1"/>
      <c r="S3441" s="1"/>
    </row>
    <row r="3442" spans="9:19" x14ac:dyDescent="0.3">
      <c r="I3442" s="1"/>
      <c r="S3442" s="1"/>
    </row>
    <row r="3443" spans="9:19" x14ac:dyDescent="0.3">
      <c r="I3443" s="1"/>
      <c r="S3443" s="1"/>
    </row>
    <row r="3444" spans="9:19" x14ac:dyDescent="0.3">
      <c r="I3444" s="1"/>
      <c r="S3444" s="1"/>
    </row>
    <row r="3445" spans="9:19" x14ac:dyDescent="0.3">
      <c r="I3445" s="1"/>
      <c r="S3445" s="1"/>
    </row>
    <row r="3446" spans="9:19" x14ac:dyDescent="0.3">
      <c r="I3446" s="1"/>
      <c r="S3446" s="1"/>
    </row>
    <row r="3447" spans="9:19" x14ac:dyDescent="0.3">
      <c r="I3447" s="1"/>
      <c r="S3447" s="1"/>
    </row>
    <row r="3448" spans="9:19" x14ac:dyDescent="0.3">
      <c r="I3448" s="1"/>
      <c r="S3448" s="1"/>
    </row>
    <row r="3449" spans="9:19" x14ac:dyDescent="0.3">
      <c r="I3449" s="1"/>
      <c r="S3449" s="1"/>
    </row>
    <row r="3450" spans="9:19" x14ac:dyDescent="0.3">
      <c r="I3450" s="1"/>
      <c r="S3450" s="1"/>
    </row>
    <row r="3451" spans="9:19" x14ac:dyDescent="0.3">
      <c r="I3451" s="1"/>
      <c r="S3451" s="1"/>
    </row>
    <row r="3452" spans="9:19" x14ac:dyDescent="0.3">
      <c r="I3452" s="1"/>
      <c r="S3452" s="1"/>
    </row>
    <row r="3453" spans="9:19" x14ac:dyDescent="0.3">
      <c r="I3453" s="1"/>
      <c r="S3453" s="1"/>
    </row>
    <row r="3454" spans="9:19" x14ac:dyDescent="0.3">
      <c r="I3454" s="1"/>
      <c r="S3454" s="1"/>
    </row>
    <row r="3455" spans="9:19" x14ac:dyDescent="0.3">
      <c r="I3455" s="1"/>
      <c r="S3455" s="1"/>
    </row>
    <row r="3456" spans="9:19" x14ac:dyDescent="0.3">
      <c r="I3456" s="1"/>
      <c r="S3456" s="1"/>
    </row>
    <row r="3457" spans="9:19" x14ac:dyDescent="0.3">
      <c r="I3457" s="1"/>
      <c r="S3457" s="1"/>
    </row>
    <row r="3458" spans="9:19" x14ac:dyDescent="0.3">
      <c r="I3458" s="1"/>
      <c r="S3458" s="1"/>
    </row>
    <row r="3459" spans="9:19" x14ac:dyDescent="0.3">
      <c r="I3459" s="1"/>
      <c r="S3459" s="1"/>
    </row>
    <row r="3460" spans="9:19" x14ac:dyDescent="0.3">
      <c r="I3460" s="1"/>
      <c r="S3460" s="1"/>
    </row>
    <row r="3461" spans="9:19" x14ac:dyDescent="0.3">
      <c r="I3461" s="1"/>
      <c r="S3461" s="1"/>
    </row>
    <row r="3462" spans="9:19" x14ac:dyDescent="0.3">
      <c r="I3462" s="1"/>
      <c r="S3462" s="1"/>
    </row>
    <row r="3463" spans="9:19" x14ac:dyDescent="0.3">
      <c r="I3463" s="1"/>
      <c r="S3463" s="1"/>
    </row>
    <row r="3464" spans="9:19" x14ac:dyDescent="0.3">
      <c r="I3464" s="1"/>
      <c r="S3464" s="1"/>
    </row>
    <row r="3465" spans="9:19" x14ac:dyDescent="0.3">
      <c r="I3465" s="1"/>
      <c r="S3465" s="1"/>
    </row>
    <row r="3466" spans="9:19" x14ac:dyDescent="0.3">
      <c r="I3466" s="1"/>
      <c r="S3466" s="1"/>
    </row>
    <row r="3467" spans="9:19" x14ac:dyDescent="0.3">
      <c r="I3467" s="1"/>
      <c r="S3467" s="1"/>
    </row>
    <row r="3468" spans="9:19" x14ac:dyDescent="0.3">
      <c r="I3468" s="1"/>
      <c r="S3468" s="1"/>
    </row>
    <row r="3469" spans="9:19" x14ac:dyDescent="0.3">
      <c r="I3469" s="1"/>
      <c r="S3469" s="1"/>
    </row>
    <row r="3470" spans="9:19" x14ac:dyDescent="0.3">
      <c r="I3470" s="1"/>
      <c r="S3470" s="1"/>
    </row>
    <row r="3471" spans="9:19" x14ac:dyDescent="0.3">
      <c r="I3471" s="1"/>
      <c r="S3471" s="1"/>
    </row>
    <row r="3472" spans="9:19" x14ac:dyDescent="0.3">
      <c r="I3472" s="1"/>
      <c r="S3472" s="1"/>
    </row>
    <row r="3473" spans="9:19" x14ac:dyDescent="0.3">
      <c r="I3473" s="1"/>
      <c r="S3473" s="1"/>
    </row>
    <row r="3474" spans="9:19" x14ac:dyDescent="0.3">
      <c r="I3474" s="1"/>
      <c r="S3474" s="1"/>
    </row>
    <row r="3475" spans="9:19" x14ac:dyDescent="0.3">
      <c r="I3475" s="1"/>
      <c r="S3475" s="1"/>
    </row>
    <row r="3476" spans="9:19" x14ac:dyDescent="0.3">
      <c r="I3476" s="1"/>
      <c r="S3476" s="1"/>
    </row>
    <row r="3477" spans="9:19" x14ac:dyDescent="0.3">
      <c r="I3477" s="1"/>
      <c r="S3477" s="1"/>
    </row>
    <row r="3478" spans="9:19" x14ac:dyDescent="0.3">
      <c r="I3478" s="1"/>
      <c r="S3478" s="1"/>
    </row>
    <row r="3479" spans="9:19" x14ac:dyDescent="0.3">
      <c r="I3479" s="1"/>
      <c r="S3479" s="1"/>
    </row>
    <row r="3480" spans="9:19" x14ac:dyDescent="0.3">
      <c r="I3480" s="1"/>
      <c r="S3480" s="1"/>
    </row>
    <row r="3481" spans="9:19" x14ac:dyDescent="0.3">
      <c r="I3481" s="1"/>
      <c r="S3481" s="1"/>
    </row>
    <row r="3482" spans="9:19" x14ac:dyDescent="0.3">
      <c r="I3482" s="1"/>
      <c r="S3482" s="1"/>
    </row>
    <row r="3483" spans="9:19" x14ac:dyDescent="0.3">
      <c r="I3483" s="1"/>
      <c r="S3483" s="1"/>
    </row>
    <row r="3484" spans="9:19" x14ac:dyDescent="0.3">
      <c r="I3484" s="1"/>
      <c r="S3484" s="1"/>
    </row>
    <row r="3485" spans="9:19" x14ac:dyDescent="0.3">
      <c r="I3485" s="1"/>
      <c r="S3485" s="1"/>
    </row>
    <row r="3486" spans="9:19" x14ac:dyDescent="0.3">
      <c r="I3486" s="1"/>
      <c r="S3486" s="1"/>
    </row>
    <row r="3487" spans="9:19" x14ac:dyDescent="0.3">
      <c r="I3487" s="1"/>
      <c r="S3487" s="1"/>
    </row>
    <row r="3488" spans="9:19" x14ac:dyDescent="0.3">
      <c r="I3488" s="1"/>
      <c r="S3488" s="1"/>
    </row>
    <row r="3489" spans="9:19" x14ac:dyDescent="0.3">
      <c r="I3489" s="1"/>
      <c r="S3489" s="1"/>
    </row>
    <row r="3490" spans="9:19" x14ac:dyDescent="0.3">
      <c r="I3490" s="1"/>
      <c r="S3490" s="1"/>
    </row>
    <row r="3491" spans="9:19" x14ac:dyDescent="0.3">
      <c r="I3491" s="1"/>
      <c r="S3491" s="1"/>
    </row>
    <row r="3492" spans="9:19" x14ac:dyDescent="0.3">
      <c r="I3492" s="1"/>
      <c r="S3492" s="1"/>
    </row>
    <row r="3493" spans="9:19" x14ac:dyDescent="0.3">
      <c r="I3493" s="1"/>
      <c r="S3493" s="1"/>
    </row>
    <row r="3494" spans="9:19" x14ac:dyDescent="0.3">
      <c r="I3494" s="1"/>
      <c r="S3494" s="1"/>
    </row>
    <row r="3495" spans="9:19" x14ac:dyDescent="0.3">
      <c r="I3495" s="1"/>
      <c r="S3495" s="1"/>
    </row>
    <row r="3496" spans="9:19" x14ac:dyDescent="0.3">
      <c r="I3496" s="1"/>
      <c r="S3496" s="1"/>
    </row>
    <row r="3497" spans="9:19" x14ac:dyDescent="0.3">
      <c r="I3497" s="1"/>
      <c r="S3497" s="1"/>
    </row>
    <row r="3498" spans="9:19" x14ac:dyDescent="0.3">
      <c r="I3498" s="1"/>
      <c r="S3498" s="1"/>
    </row>
    <row r="3499" spans="9:19" x14ac:dyDescent="0.3">
      <c r="I3499" s="1"/>
      <c r="S3499" s="1"/>
    </row>
    <row r="3500" spans="9:19" x14ac:dyDescent="0.3">
      <c r="I3500" s="1"/>
      <c r="S3500" s="1"/>
    </row>
    <row r="3501" spans="9:19" x14ac:dyDescent="0.3">
      <c r="I3501" s="1"/>
      <c r="S3501" s="1"/>
    </row>
    <row r="3502" spans="9:19" x14ac:dyDescent="0.3">
      <c r="I3502" s="1"/>
      <c r="S3502" s="1"/>
    </row>
    <row r="3503" spans="9:19" x14ac:dyDescent="0.3">
      <c r="I3503" s="1"/>
      <c r="S3503" s="1"/>
    </row>
    <row r="3504" spans="9:19" x14ac:dyDescent="0.3">
      <c r="I3504" s="1"/>
      <c r="S3504" s="1"/>
    </row>
    <row r="3505" spans="9:19" x14ac:dyDescent="0.3">
      <c r="I3505" s="1"/>
      <c r="S3505" s="1"/>
    </row>
    <row r="3506" spans="9:19" x14ac:dyDescent="0.3">
      <c r="I3506" s="1"/>
      <c r="S3506" s="1"/>
    </row>
    <row r="3507" spans="9:19" x14ac:dyDescent="0.3">
      <c r="I3507" s="1"/>
      <c r="S3507" s="1"/>
    </row>
    <row r="3508" spans="9:19" x14ac:dyDescent="0.3">
      <c r="I3508" s="1"/>
      <c r="S3508" s="1"/>
    </row>
    <row r="3509" spans="9:19" x14ac:dyDescent="0.3">
      <c r="I3509" s="1"/>
      <c r="S3509" s="1"/>
    </row>
    <row r="3510" spans="9:19" x14ac:dyDescent="0.3">
      <c r="I3510" s="1"/>
      <c r="S3510" s="1"/>
    </row>
    <row r="3511" spans="9:19" x14ac:dyDescent="0.3">
      <c r="I3511" s="1"/>
      <c r="S3511" s="1"/>
    </row>
    <row r="3512" spans="9:19" x14ac:dyDescent="0.3">
      <c r="I3512" s="1"/>
      <c r="S3512" s="1"/>
    </row>
    <row r="3513" spans="9:19" x14ac:dyDescent="0.3">
      <c r="I3513" s="1"/>
      <c r="S3513" s="1"/>
    </row>
    <row r="3514" spans="9:19" x14ac:dyDescent="0.3">
      <c r="I3514" s="1"/>
      <c r="S3514" s="1"/>
    </row>
    <row r="3515" spans="9:19" x14ac:dyDescent="0.3">
      <c r="I3515" s="1"/>
      <c r="S3515" s="1"/>
    </row>
    <row r="3516" spans="9:19" x14ac:dyDescent="0.3">
      <c r="I3516" s="1"/>
      <c r="S3516" s="1"/>
    </row>
    <row r="3517" spans="9:19" x14ac:dyDescent="0.3">
      <c r="I3517" s="1"/>
      <c r="S3517" s="1"/>
    </row>
    <row r="3518" spans="9:19" x14ac:dyDescent="0.3">
      <c r="I3518" s="1"/>
      <c r="S3518" s="1"/>
    </row>
    <row r="3519" spans="9:19" x14ac:dyDescent="0.3">
      <c r="I3519" s="1"/>
      <c r="S3519" s="1"/>
    </row>
    <row r="3520" spans="9:19" x14ac:dyDescent="0.3">
      <c r="I3520" s="1"/>
      <c r="S3520" s="1"/>
    </row>
    <row r="3521" spans="9:19" x14ac:dyDescent="0.3">
      <c r="I3521" s="1"/>
      <c r="S3521" s="1"/>
    </row>
    <row r="3522" spans="9:19" x14ac:dyDescent="0.3">
      <c r="I3522" s="1"/>
      <c r="S3522" s="1"/>
    </row>
    <row r="3523" spans="9:19" x14ac:dyDescent="0.3">
      <c r="I3523" s="1"/>
      <c r="S3523" s="1"/>
    </row>
    <row r="3524" spans="9:19" x14ac:dyDescent="0.3">
      <c r="I3524" s="1"/>
      <c r="S3524" s="1"/>
    </row>
    <row r="3525" spans="9:19" x14ac:dyDescent="0.3">
      <c r="I3525" s="1"/>
      <c r="S3525" s="1"/>
    </row>
    <row r="3526" spans="9:19" x14ac:dyDescent="0.3">
      <c r="I3526" s="1"/>
      <c r="S3526" s="1"/>
    </row>
    <row r="3527" spans="9:19" x14ac:dyDescent="0.3">
      <c r="I3527" s="1"/>
      <c r="S3527" s="1"/>
    </row>
    <row r="3528" spans="9:19" x14ac:dyDescent="0.3">
      <c r="I3528" s="1"/>
      <c r="S3528" s="1"/>
    </row>
    <row r="3529" spans="9:19" x14ac:dyDescent="0.3">
      <c r="I3529" s="1"/>
      <c r="S3529" s="1"/>
    </row>
    <row r="3530" spans="9:19" x14ac:dyDescent="0.3">
      <c r="I3530" s="1"/>
      <c r="S3530" s="1"/>
    </row>
    <row r="3531" spans="9:19" x14ac:dyDescent="0.3">
      <c r="I3531" s="1"/>
      <c r="S3531" s="1"/>
    </row>
    <row r="3532" spans="9:19" x14ac:dyDescent="0.3">
      <c r="I3532" s="1"/>
      <c r="S3532" s="1"/>
    </row>
    <row r="3533" spans="9:19" x14ac:dyDescent="0.3">
      <c r="I3533" s="1"/>
      <c r="S3533" s="1"/>
    </row>
    <row r="3534" spans="9:19" x14ac:dyDescent="0.3">
      <c r="I3534" s="1"/>
      <c r="S3534" s="1"/>
    </row>
    <row r="3535" spans="9:19" x14ac:dyDescent="0.3">
      <c r="I3535" s="1"/>
      <c r="S3535" s="1"/>
    </row>
    <row r="3536" spans="9:19" x14ac:dyDescent="0.3">
      <c r="I3536" s="1"/>
      <c r="S3536" s="1"/>
    </row>
    <row r="3537" spans="9:19" x14ac:dyDescent="0.3">
      <c r="I3537" s="1"/>
      <c r="S3537" s="1"/>
    </row>
    <row r="3538" spans="9:19" x14ac:dyDescent="0.3">
      <c r="I3538" s="1"/>
      <c r="S3538" s="1"/>
    </row>
    <row r="3539" spans="9:19" x14ac:dyDescent="0.3">
      <c r="I3539" s="1"/>
      <c r="S3539" s="1"/>
    </row>
    <row r="3540" spans="9:19" x14ac:dyDescent="0.3">
      <c r="I3540" s="1"/>
      <c r="S3540" s="1"/>
    </row>
    <row r="3541" spans="9:19" x14ac:dyDescent="0.3">
      <c r="I3541" s="1"/>
      <c r="S3541" s="1"/>
    </row>
    <row r="3542" spans="9:19" x14ac:dyDescent="0.3">
      <c r="I3542" s="1"/>
      <c r="S3542" s="1"/>
    </row>
    <row r="3543" spans="9:19" x14ac:dyDescent="0.3">
      <c r="I3543" s="1"/>
      <c r="S3543" s="1"/>
    </row>
    <row r="3544" spans="9:19" x14ac:dyDescent="0.3">
      <c r="I3544" s="1"/>
      <c r="S3544" s="1"/>
    </row>
    <row r="3545" spans="9:19" x14ac:dyDescent="0.3">
      <c r="I3545" s="1"/>
      <c r="S3545" s="1"/>
    </row>
    <row r="3546" spans="9:19" x14ac:dyDescent="0.3">
      <c r="I3546" s="1"/>
      <c r="S3546" s="1"/>
    </row>
    <row r="3547" spans="9:19" x14ac:dyDescent="0.3">
      <c r="I3547" s="1"/>
      <c r="S3547" s="1"/>
    </row>
    <row r="3548" spans="9:19" x14ac:dyDescent="0.3">
      <c r="I3548" s="1"/>
      <c r="S3548" s="1"/>
    </row>
    <row r="3549" spans="9:19" x14ac:dyDescent="0.3">
      <c r="I3549" s="1"/>
      <c r="S3549" s="1"/>
    </row>
    <row r="3550" spans="9:19" x14ac:dyDescent="0.3">
      <c r="I3550" s="1"/>
      <c r="S3550" s="1"/>
    </row>
    <row r="3551" spans="9:19" x14ac:dyDescent="0.3">
      <c r="I3551" s="1"/>
      <c r="S3551" s="1"/>
    </row>
    <row r="3552" spans="9:19" x14ac:dyDescent="0.3">
      <c r="I3552" s="1"/>
      <c r="S3552" s="1"/>
    </row>
    <row r="3553" spans="9:19" x14ac:dyDescent="0.3">
      <c r="I3553" s="1"/>
      <c r="S3553" s="1"/>
    </row>
    <row r="3554" spans="9:19" x14ac:dyDescent="0.3">
      <c r="I3554" s="1"/>
      <c r="S3554" s="1"/>
    </row>
    <row r="3555" spans="9:19" x14ac:dyDescent="0.3">
      <c r="I3555" s="1"/>
      <c r="S3555" s="1"/>
    </row>
    <row r="3556" spans="9:19" x14ac:dyDescent="0.3">
      <c r="I3556" s="1"/>
      <c r="S3556" s="1"/>
    </row>
    <row r="3557" spans="9:19" x14ac:dyDescent="0.3">
      <c r="I3557" s="1"/>
      <c r="S3557" s="1"/>
    </row>
    <row r="3558" spans="9:19" x14ac:dyDescent="0.3">
      <c r="I3558" s="1"/>
      <c r="S3558" s="1"/>
    </row>
    <row r="3559" spans="9:19" x14ac:dyDescent="0.3">
      <c r="I3559" s="1"/>
      <c r="S3559" s="1"/>
    </row>
    <row r="3560" spans="9:19" x14ac:dyDescent="0.3">
      <c r="I3560" s="1"/>
      <c r="S3560" s="1"/>
    </row>
    <row r="3561" spans="9:19" x14ac:dyDescent="0.3">
      <c r="I3561" s="1"/>
      <c r="S3561" s="1"/>
    </row>
    <row r="3562" spans="9:19" x14ac:dyDescent="0.3">
      <c r="I3562" s="1"/>
      <c r="S3562" s="1"/>
    </row>
    <row r="3563" spans="9:19" x14ac:dyDescent="0.3">
      <c r="I3563" s="1"/>
      <c r="S3563" s="1"/>
    </row>
    <row r="3564" spans="9:19" x14ac:dyDescent="0.3">
      <c r="I3564" s="1"/>
      <c r="S3564" s="1"/>
    </row>
    <row r="3565" spans="9:19" x14ac:dyDescent="0.3">
      <c r="I3565" s="1"/>
      <c r="S3565" s="1"/>
    </row>
    <row r="3566" spans="9:19" x14ac:dyDescent="0.3">
      <c r="I3566" s="1"/>
      <c r="S3566" s="1"/>
    </row>
    <row r="3567" spans="9:19" x14ac:dyDescent="0.3">
      <c r="I3567" s="1"/>
      <c r="S3567" s="1"/>
    </row>
    <row r="3568" spans="9:19" x14ac:dyDescent="0.3">
      <c r="I3568" s="1"/>
      <c r="S3568" s="1"/>
    </row>
    <row r="3569" spans="9:19" x14ac:dyDescent="0.3">
      <c r="I3569" s="1"/>
      <c r="S3569" s="1"/>
    </row>
    <row r="3570" spans="9:19" x14ac:dyDescent="0.3">
      <c r="I3570" s="1"/>
      <c r="S3570" s="1"/>
    </row>
    <row r="3571" spans="9:19" x14ac:dyDescent="0.3">
      <c r="I3571" s="1"/>
      <c r="S3571" s="1"/>
    </row>
    <row r="3572" spans="9:19" x14ac:dyDescent="0.3">
      <c r="I3572" s="1"/>
      <c r="S3572" s="1"/>
    </row>
    <row r="3573" spans="9:19" x14ac:dyDescent="0.3">
      <c r="I3573" s="1"/>
      <c r="S3573" s="1"/>
    </row>
    <row r="3574" spans="9:19" x14ac:dyDescent="0.3">
      <c r="I3574" s="1"/>
      <c r="S3574" s="1"/>
    </row>
    <row r="3575" spans="9:19" x14ac:dyDescent="0.3">
      <c r="I3575" s="1"/>
      <c r="S3575" s="1"/>
    </row>
    <row r="3576" spans="9:19" x14ac:dyDescent="0.3">
      <c r="I3576" s="1"/>
      <c r="S3576" s="1"/>
    </row>
    <row r="3577" spans="9:19" x14ac:dyDescent="0.3">
      <c r="I3577" s="1"/>
      <c r="S3577" s="1"/>
    </row>
    <row r="3578" spans="9:19" x14ac:dyDescent="0.3">
      <c r="I3578" s="1"/>
      <c r="S3578" s="1"/>
    </row>
    <row r="3579" spans="9:19" x14ac:dyDescent="0.3">
      <c r="I3579" s="1"/>
      <c r="S3579" s="1"/>
    </row>
    <row r="3580" spans="9:19" x14ac:dyDescent="0.3">
      <c r="I3580" s="1"/>
      <c r="S3580" s="1"/>
    </row>
    <row r="3581" spans="9:19" x14ac:dyDescent="0.3">
      <c r="I3581" s="1"/>
      <c r="S3581" s="1"/>
    </row>
    <row r="3582" spans="9:19" x14ac:dyDescent="0.3">
      <c r="I3582" s="1"/>
      <c r="S3582" s="1"/>
    </row>
    <row r="3583" spans="9:19" x14ac:dyDescent="0.3">
      <c r="I3583" s="1"/>
      <c r="S3583" s="1"/>
    </row>
    <row r="3584" spans="9:19" x14ac:dyDescent="0.3">
      <c r="I3584" s="1"/>
      <c r="S3584" s="1"/>
    </row>
    <row r="3585" spans="9:19" x14ac:dyDescent="0.3">
      <c r="I3585" s="1"/>
      <c r="S3585" s="1"/>
    </row>
    <row r="3586" spans="9:19" x14ac:dyDescent="0.3">
      <c r="I3586" s="1"/>
      <c r="S3586" s="1"/>
    </row>
    <row r="3587" spans="9:19" x14ac:dyDescent="0.3">
      <c r="I3587" s="1"/>
      <c r="S3587" s="1"/>
    </row>
    <row r="3588" spans="9:19" x14ac:dyDescent="0.3">
      <c r="I3588" s="1"/>
      <c r="S3588" s="1"/>
    </row>
    <row r="3589" spans="9:19" x14ac:dyDescent="0.3">
      <c r="I3589" s="1"/>
      <c r="S3589" s="1"/>
    </row>
    <row r="3590" spans="9:19" x14ac:dyDescent="0.3">
      <c r="I3590" s="1"/>
      <c r="S3590" s="1"/>
    </row>
    <row r="3591" spans="9:19" x14ac:dyDescent="0.3">
      <c r="I3591" s="1"/>
      <c r="S3591" s="1"/>
    </row>
    <row r="3592" spans="9:19" x14ac:dyDescent="0.3">
      <c r="I3592" s="1"/>
      <c r="S3592" s="1"/>
    </row>
    <row r="3593" spans="9:19" x14ac:dyDescent="0.3">
      <c r="I3593" s="1"/>
      <c r="S3593" s="1"/>
    </row>
    <row r="3594" spans="9:19" x14ac:dyDescent="0.3">
      <c r="I3594" s="1"/>
      <c r="S3594" s="1"/>
    </row>
    <row r="3595" spans="9:19" x14ac:dyDescent="0.3">
      <c r="I3595" s="1"/>
      <c r="S3595" s="1"/>
    </row>
    <row r="3596" spans="9:19" x14ac:dyDescent="0.3">
      <c r="I3596" s="1"/>
      <c r="S3596" s="1"/>
    </row>
    <row r="3597" spans="9:19" x14ac:dyDescent="0.3">
      <c r="I3597" s="1"/>
      <c r="S3597" s="1"/>
    </row>
    <row r="3598" spans="9:19" x14ac:dyDescent="0.3">
      <c r="I3598" s="1"/>
      <c r="S3598" s="1"/>
    </row>
    <row r="3599" spans="9:19" x14ac:dyDescent="0.3">
      <c r="I3599" s="1"/>
      <c r="S3599" s="1"/>
    </row>
    <row r="3600" spans="9:19" x14ac:dyDescent="0.3">
      <c r="I3600" s="1"/>
      <c r="S3600" s="1"/>
    </row>
    <row r="3601" spans="9:19" x14ac:dyDescent="0.3">
      <c r="I3601" s="1"/>
      <c r="S3601" s="1"/>
    </row>
    <row r="3602" spans="9:19" x14ac:dyDescent="0.3">
      <c r="I3602" s="1"/>
      <c r="S3602" s="1"/>
    </row>
    <row r="3603" spans="9:19" x14ac:dyDescent="0.3">
      <c r="I3603" s="1"/>
      <c r="S3603" s="1"/>
    </row>
    <row r="3604" spans="9:19" x14ac:dyDescent="0.3">
      <c r="I3604" s="1"/>
      <c r="S3604" s="1"/>
    </row>
    <row r="3605" spans="9:19" x14ac:dyDescent="0.3">
      <c r="I3605" s="1"/>
      <c r="S3605" s="1"/>
    </row>
    <row r="3606" spans="9:19" x14ac:dyDescent="0.3">
      <c r="I3606" s="1"/>
      <c r="S3606" s="1"/>
    </row>
    <row r="3607" spans="9:19" x14ac:dyDescent="0.3">
      <c r="I3607" s="1"/>
      <c r="S3607" s="1"/>
    </row>
    <row r="3608" spans="9:19" x14ac:dyDescent="0.3">
      <c r="I3608" s="1"/>
      <c r="S3608" s="1"/>
    </row>
    <row r="3609" spans="9:19" x14ac:dyDescent="0.3">
      <c r="I3609" s="1"/>
      <c r="S3609" s="1"/>
    </row>
    <row r="3610" spans="9:19" x14ac:dyDescent="0.3">
      <c r="I3610" s="1"/>
      <c r="S3610" s="1"/>
    </row>
    <row r="3611" spans="9:19" x14ac:dyDescent="0.3">
      <c r="I3611" s="1"/>
      <c r="S3611" s="1"/>
    </row>
    <row r="3612" spans="9:19" x14ac:dyDescent="0.3">
      <c r="I3612" s="1"/>
      <c r="S3612" s="1"/>
    </row>
    <row r="3613" spans="9:19" x14ac:dyDescent="0.3">
      <c r="I3613" s="1"/>
      <c r="S3613" s="1"/>
    </row>
    <row r="3614" spans="9:19" x14ac:dyDescent="0.3">
      <c r="I3614" s="1"/>
      <c r="S3614" s="1"/>
    </row>
    <row r="3615" spans="9:19" x14ac:dyDescent="0.3">
      <c r="I3615" s="1"/>
      <c r="S3615" s="1"/>
    </row>
    <row r="3616" spans="9:19" x14ac:dyDescent="0.3">
      <c r="I3616" s="1"/>
      <c r="S3616" s="1"/>
    </row>
    <row r="3617" spans="9:19" x14ac:dyDescent="0.3">
      <c r="I3617" s="1"/>
      <c r="S3617" s="1"/>
    </row>
    <row r="3618" spans="9:19" x14ac:dyDescent="0.3">
      <c r="I3618" s="1"/>
      <c r="S3618" s="1"/>
    </row>
    <row r="3619" spans="9:19" x14ac:dyDescent="0.3">
      <c r="I3619" s="1"/>
      <c r="S3619" s="1"/>
    </row>
    <row r="3620" spans="9:19" x14ac:dyDescent="0.3">
      <c r="I3620" s="1"/>
      <c r="S3620" s="1"/>
    </row>
    <row r="3621" spans="9:19" x14ac:dyDescent="0.3">
      <c r="I3621" s="1"/>
      <c r="S3621" s="1"/>
    </row>
    <row r="3622" spans="9:19" x14ac:dyDescent="0.3">
      <c r="I3622" s="1"/>
      <c r="S3622" s="1"/>
    </row>
    <row r="3623" spans="9:19" x14ac:dyDescent="0.3">
      <c r="I3623" s="1"/>
      <c r="S3623" s="1"/>
    </row>
    <row r="3624" spans="9:19" x14ac:dyDescent="0.3">
      <c r="I3624" s="1"/>
      <c r="S3624" s="1"/>
    </row>
    <row r="3625" spans="9:19" x14ac:dyDescent="0.3">
      <c r="I3625" s="1"/>
      <c r="S3625" s="1"/>
    </row>
    <row r="3626" spans="9:19" x14ac:dyDescent="0.3">
      <c r="I3626" s="1"/>
      <c r="S3626" s="1"/>
    </row>
    <row r="3627" spans="9:19" x14ac:dyDescent="0.3">
      <c r="I3627" s="1"/>
      <c r="S3627" s="1"/>
    </row>
    <row r="3628" spans="9:19" x14ac:dyDescent="0.3">
      <c r="I3628" s="1"/>
      <c r="S3628" s="1"/>
    </row>
    <row r="3629" spans="9:19" x14ac:dyDescent="0.3">
      <c r="I3629" s="1"/>
      <c r="S3629" s="1"/>
    </row>
    <row r="3630" spans="9:19" x14ac:dyDescent="0.3">
      <c r="I3630" s="1"/>
      <c r="S3630" s="1"/>
    </row>
    <row r="3631" spans="9:19" x14ac:dyDescent="0.3">
      <c r="I3631" s="1"/>
      <c r="S3631" s="1"/>
    </row>
    <row r="3632" spans="9:19" x14ac:dyDescent="0.3">
      <c r="I3632" s="1"/>
      <c r="S3632" s="1"/>
    </row>
    <row r="3633" spans="9:19" x14ac:dyDescent="0.3">
      <c r="I3633" s="1"/>
      <c r="S3633" s="1"/>
    </row>
    <row r="3634" spans="9:19" x14ac:dyDescent="0.3">
      <c r="I3634" s="1"/>
      <c r="S3634" s="1"/>
    </row>
    <row r="3635" spans="9:19" x14ac:dyDescent="0.3">
      <c r="I3635" s="1"/>
      <c r="S3635" s="1"/>
    </row>
    <row r="3636" spans="9:19" x14ac:dyDescent="0.3">
      <c r="I3636" s="1"/>
      <c r="S3636" s="1"/>
    </row>
    <row r="3637" spans="9:19" x14ac:dyDescent="0.3">
      <c r="I3637" s="1"/>
      <c r="S3637" s="1"/>
    </row>
    <row r="3638" spans="9:19" x14ac:dyDescent="0.3">
      <c r="I3638" s="1"/>
      <c r="S3638" s="1"/>
    </row>
    <row r="3639" spans="9:19" x14ac:dyDescent="0.3">
      <c r="I3639" s="1"/>
      <c r="S3639" s="1"/>
    </row>
    <row r="3640" spans="9:19" x14ac:dyDescent="0.3">
      <c r="I3640" s="1"/>
      <c r="S3640" s="1"/>
    </row>
    <row r="3641" spans="9:19" x14ac:dyDescent="0.3">
      <c r="I3641" s="1"/>
      <c r="S3641" s="1"/>
    </row>
    <row r="3642" spans="9:19" x14ac:dyDescent="0.3">
      <c r="I3642" s="1"/>
      <c r="S3642" s="1"/>
    </row>
    <row r="3643" spans="9:19" x14ac:dyDescent="0.3">
      <c r="I3643" s="1"/>
      <c r="S3643" s="1"/>
    </row>
    <row r="3644" spans="9:19" x14ac:dyDescent="0.3">
      <c r="I3644" s="1"/>
      <c r="S3644" s="1"/>
    </row>
    <row r="3645" spans="9:19" x14ac:dyDescent="0.3">
      <c r="I3645" s="1"/>
      <c r="S3645" s="1"/>
    </row>
    <row r="3646" spans="9:19" x14ac:dyDescent="0.3">
      <c r="I3646" s="1"/>
      <c r="S3646" s="1"/>
    </row>
    <row r="3647" spans="9:19" x14ac:dyDescent="0.3">
      <c r="I3647" s="1"/>
      <c r="S3647" s="1"/>
    </row>
    <row r="3648" spans="9:19" x14ac:dyDescent="0.3">
      <c r="I3648" s="1"/>
      <c r="S3648" s="1"/>
    </row>
    <row r="3649" spans="9:19" x14ac:dyDescent="0.3">
      <c r="I3649" s="1"/>
      <c r="S3649" s="1"/>
    </row>
    <row r="3650" spans="9:19" x14ac:dyDescent="0.3">
      <c r="I3650" s="1"/>
      <c r="S3650" s="1"/>
    </row>
    <row r="3651" spans="9:19" x14ac:dyDescent="0.3">
      <c r="I3651" s="1"/>
      <c r="S3651" s="1"/>
    </row>
    <row r="3652" spans="9:19" x14ac:dyDescent="0.3">
      <c r="I3652" s="1"/>
      <c r="S3652" s="1"/>
    </row>
    <row r="3653" spans="9:19" x14ac:dyDescent="0.3">
      <c r="I3653" s="1"/>
      <c r="S3653" s="1"/>
    </row>
    <row r="3654" spans="9:19" x14ac:dyDescent="0.3">
      <c r="I3654" s="1"/>
      <c r="S3654" s="1"/>
    </row>
    <row r="3655" spans="9:19" x14ac:dyDescent="0.3">
      <c r="I3655" s="1"/>
      <c r="S3655" s="1"/>
    </row>
    <row r="3656" spans="9:19" x14ac:dyDescent="0.3">
      <c r="I3656" s="1"/>
      <c r="S3656" s="1"/>
    </row>
    <row r="3657" spans="9:19" x14ac:dyDescent="0.3">
      <c r="I3657" s="1"/>
      <c r="S3657" s="1"/>
    </row>
    <row r="3658" spans="9:19" x14ac:dyDescent="0.3">
      <c r="I3658" s="1"/>
      <c r="S3658" s="1"/>
    </row>
    <row r="3659" spans="9:19" x14ac:dyDescent="0.3">
      <c r="I3659" s="1"/>
      <c r="S3659" s="1"/>
    </row>
    <row r="3660" spans="9:19" x14ac:dyDescent="0.3">
      <c r="I3660" s="1"/>
      <c r="S3660" s="1"/>
    </row>
    <row r="3661" spans="9:19" x14ac:dyDescent="0.3">
      <c r="I3661" s="1"/>
      <c r="S3661" s="1"/>
    </row>
    <row r="3662" spans="9:19" x14ac:dyDescent="0.3">
      <c r="I3662" s="1"/>
      <c r="S3662" s="1"/>
    </row>
    <row r="3663" spans="9:19" x14ac:dyDescent="0.3">
      <c r="I3663" s="1"/>
      <c r="S3663" s="1"/>
    </row>
    <row r="3664" spans="9:19" x14ac:dyDescent="0.3">
      <c r="I3664" s="1"/>
      <c r="S3664" s="1"/>
    </row>
    <row r="3665" spans="9:19" x14ac:dyDescent="0.3">
      <c r="I3665" s="1"/>
      <c r="S3665" s="1"/>
    </row>
    <row r="3666" spans="9:19" x14ac:dyDescent="0.3">
      <c r="I3666" s="1"/>
      <c r="S3666" s="1"/>
    </row>
    <row r="3667" spans="9:19" x14ac:dyDescent="0.3">
      <c r="I3667" s="1"/>
      <c r="S3667" s="1"/>
    </row>
    <row r="3668" spans="9:19" x14ac:dyDescent="0.3">
      <c r="I3668" s="1"/>
      <c r="S3668" s="1"/>
    </row>
    <row r="3669" spans="9:19" x14ac:dyDescent="0.3">
      <c r="I3669" s="1"/>
      <c r="S3669" s="1"/>
    </row>
    <row r="3670" spans="9:19" x14ac:dyDescent="0.3">
      <c r="I3670" s="1"/>
      <c r="S3670" s="1"/>
    </row>
    <row r="3671" spans="9:19" x14ac:dyDescent="0.3">
      <c r="I3671" s="1"/>
      <c r="S3671" s="1"/>
    </row>
    <row r="3672" spans="9:19" x14ac:dyDescent="0.3">
      <c r="I3672" s="1"/>
      <c r="S3672" s="1"/>
    </row>
    <row r="3673" spans="9:19" x14ac:dyDescent="0.3">
      <c r="I3673" s="1"/>
      <c r="S3673" s="1"/>
    </row>
    <row r="3674" spans="9:19" x14ac:dyDescent="0.3">
      <c r="I3674" s="1"/>
      <c r="S3674" s="1"/>
    </row>
    <row r="3675" spans="9:19" x14ac:dyDescent="0.3">
      <c r="I3675" s="1"/>
      <c r="S3675" s="1"/>
    </row>
    <row r="3676" spans="9:19" x14ac:dyDescent="0.3">
      <c r="I3676" s="1"/>
      <c r="S3676" s="1"/>
    </row>
    <row r="3677" spans="9:19" x14ac:dyDescent="0.3">
      <c r="I3677" s="1"/>
      <c r="S3677" s="1"/>
    </row>
    <row r="3678" spans="9:19" x14ac:dyDescent="0.3">
      <c r="I3678" s="1"/>
      <c r="S3678" s="1"/>
    </row>
    <row r="3679" spans="9:19" x14ac:dyDescent="0.3">
      <c r="I3679" s="1"/>
      <c r="S3679" s="1"/>
    </row>
    <row r="3680" spans="9:19" x14ac:dyDescent="0.3">
      <c r="I3680" s="1"/>
      <c r="S3680" s="1"/>
    </row>
    <row r="3681" spans="9:19" x14ac:dyDescent="0.3">
      <c r="I3681" s="1"/>
      <c r="S3681" s="1"/>
    </row>
    <row r="3682" spans="9:19" x14ac:dyDescent="0.3">
      <c r="I3682" s="1"/>
      <c r="S3682" s="1"/>
    </row>
    <row r="3683" spans="9:19" x14ac:dyDescent="0.3">
      <c r="I3683" s="1"/>
      <c r="S3683" s="1"/>
    </row>
    <row r="3684" spans="9:19" x14ac:dyDescent="0.3">
      <c r="I3684" s="1"/>
      <c r="S3684" s="1"/>
    </row>
    <row r="3685" spans="9:19" x14ac:dyDescent="0.3">
      <c r="I3685" s="1"/>
      <c r="S3685" s="1"/>
    </row>
    <row r="3686" spans="9:19" x14ac:dyDescent="0.3">
      <c r="I3686" s="1"/>
      <c r="S3686" s="1"/>
    </row>
    <row r="3687" spans="9:19" x14ac:dyDescent="0.3">
      <c r="I3687" s="1"/>
      <c r="S3687" s="1"/>
    </row>
    <row r="3688" spans="9:19" x14ac:dyDescent="0.3">
      <c r="I3688" s="1"/>
      <c r="S3688" s="1"/>
    </row>
    <row r="3689" spans="9:19" x14ac:dyDescent="0.3">
      <c r="I3689" s="1"/>
      <c r="S3689" s="1"/>
    </row>
    <row r="3690" spans="9:19" x14ac:dyDescent="0.3">
      <c r="I3690" s="1"/>
      <c r="S3690" s="1"/>
    </row>
    <row r="3691" spans="9:19" x14ac:dyDescent="0.3">
      <c r="I3691" s="1"/>
      <c r="S3691" s="1"/>
    </row>
    <row r="3692" spans="9:19" x14ac:dyDescent="0.3">
      <c r="I3692" s="1"/>
      <c r="S3692" s="1"/>
    </row>
    <row r="3693" spans="9:19" x14ac:dyDescent="0.3">
      <c r="I3693" s="1"/>
      <c r="S3693" s="1"/>
    </row>
    <row r="3694" spans="9:19" x14ac:dyDescent="0.3">
      <c r="I3694" s="1"/>
      <c r="S3694" s="1"/>
    </row>
    <row r="3695" spans="9:19" x14ac:dyDescent="0.3">
      <c r="I3695" s="1"/>
      <c r="S3695" s="1"/>
    </row>
    <row r="3696" spans="9:19" x14ac:dyDescent="0.3">
      <c r="I3696" s="1"/>
      <c r="S3696" s="1"/>
    </row>
    <row r="3697" spans="9:19" x14ac:dyDescent="0.3">
      <c r="I3697" s="1"/>
      <c r="S3697" s="1"/>
    </row>
    <row r="3698" spans="9:19" x14ac:dyDescent="0.3">
      <c r="I3698" s="1"/>
      <c r="S3698" s="1"/>
    </row>
    <row r="3699" spans="9:19" x14ac:dyDescent="0.3">
      <c r="I3699" s="1"/>
      <c r="S3699" s="1"/>
    </row>
    <row r="3700" spans="9:19" x14ac:dyDescent="0.3">
      <c r="I3700" s="1"/>
      <c r="S3700" s="1"/>
    </row>
    <row r="3701" spans="9:19" x14ac:dyDescent="0.3">
      <c r="I3701" s="1"/>
      <c r="S3701" s="1"/>
    </row>
    <row r="3702" spans="9:19" x14ac:dyDescent="0.3">
      <c r="I3702" s="1"/>
      <c r="S3702" s="1"/>
    </row>
    <row r="3703" spans="9:19" x14ac:dyDescent="0.3">
      <c r="I3703" s="1"/>
      <c r="S3703" s="1"/>
    </row>
    <row r="3704" spans="9:19" x14ac:dyDescent="0.3">
      <c r="I3704" s="1"/>
      <c r="S3704" s="1"/>
    </row>
    <row r="3705" spans="9:19" x14ac:dyDescent="0.3">
      <c r="I3705" s="1"/>
      <c r="S3705" s="1"/>
    </row>
    <row r="3706" spans="9:19" x14ac:dyDescent="0.3">
      <c r="I3706" s="1"/>
      <c r="S3706" s="1"/>
    </row>
    <row r="3707" spans="9:19" x14ac:dyDescent="0.3">
      <c r="I3707" s="1"/>
      <c r="S3707" s="1"/>
    </row>
    <row r="3708" spans="9:19" x14ac:dyDescent="0.3">
      <c r="I3708" s="1"/>
      <c r="S3708" s="1"/>
    </row>
    <row r="3709" spans="9:19" x14ac:dyDescent="0.3">
      <c r="I3709" s="1"/>
      <c r="S3709" s="1"/>
    </row>
    <row r="3710" spans="9:19" x14ac:dyDescent="0.3">
      <c r="I3710" s="1"/>
      <c r="S3710" s="1"/>
    </row>
    <row r="3711" spans="9:19" x14ac:dyDescent="0.3">
      <c r="I3711" s="1"/>
      <c r="S3711" s="1"/>
    </row>
    <row r="3712" spans="9:19" x14ac:dyDescent="0.3">
      <c r="I3712" s="1"/>
      <c r="S3712" s="1"/>
    </row>
    <row r="3713" spans="9:19" x14ac:dyDescent="0.3">
      <c r="I3713" s="1"/>
      <c r="S3713" s="1"/>
    </row>
    <row r="3714" spans="9:19" x14ac:dyDescent="0.3">
      <c r="I3714" s="1"/>
      <c r="S3714" s="1"/>
    </row>
    <row r="3715" spans="9:19" x14ac:dyDescent="0.3">
      <c r="I3715" s="1"/>
      <c r="S3715" s="1"/>
    </row>
    <row r="3716" spans="9:19" x14ac:dyDescent="0.3">
      <c r="I3716" s="1"/>
      <c r="S3716" s="1"/>
    </row>
    <row r="3717" spans="9:19" x14ac:dyDescent="0.3">
      <c r="I3717" s="1"/>
      <c r="S3717" s="1"/>
    </row>
    <row r="3718" spans="9:19" x14ac:dyDescent="0.3">
      <c r="I3718" s="1"/>
      <c r="S3718" s="1"/>
    </row>
    <row r="3719" spans="9:19" x14ac:dyDescent="0.3">
      <c r="I3719" s="1"/>
      <c r="S3719" s="1"/>
    </row>
    <row r="3720" spans="9:19" x14ac:dyDescent="0.3">
      <c r="I3720" s="1"/>
      <c r="S3720" s="1"/>
    </row>
    <row r="3721" spans="9:19" x14ac:dyDescent="0.3">
      <c r="I3721" s="1"/>
      <c r="S3721" s="1"/>
    </row>
    <row r="3722" spans="9:19" x14ac:dyDescent="0.3">
      <c r="I3722" s="1"/>
      <c r="S3722" s="1"/>
    </row>
    <row r="3723" spans="9:19" x14ac:dyDescent="0.3">
      <c r="I3723" s="1"/>
      <c r="S3723" s="1"/>
    </row>
    <row r="3724" spans="9:19" x14ac:dyDescent="0.3">
      <c r="I3724" s="1"/>
      <c r="S3724" s="1"/>
    </row>
    <row r="3725" spans="9:19" x14ac:dyDescent="0.3">
      <c r="I3725" s="1"/>
      <c r="S3725" s="1"/>
    </row>
    <row r="3726" spans="9:19" x14ac:dyDescent="0.3">
      <c r="I3726" s="1"/>
      <c r="S3726" s="1"/>
    </row>
    <row r="3727" spans="9:19" x14ac:dyDescent="0.3">
      <c r="I3727" s="1"/>
      <c r="S3727" s="1"/>
    </row>
    <row r="3728" spans="9:19" x14ac:dyDescent="0.3">
      <c r="I3728" s="1"/>
      <c r="S3728" s="1"/>
    </row>
    <row r="3729" spans="9:19" x14ac:dyDescent="0.3">
      <c r="I3729" s="1"/>
      <c r="S3729" s="1"/>
    </row>
    <row r="3730" spans="9:19" x14ac:dyDescent="0.3">
      <c r="I3730" s="1"/>
      <c r="S3730" s="1"/>
    </row>
    <row r="3731" spans="9:19" x14ac:dyDescent="0.3">
      <c r="I3731" s="1"/>
      <c r="S3731" s="1"/>
    </row>
    <row r="3732" spans="9:19" x14ac:dyDescent="0.3">
      <c r="I3732" s="1"/>
      <c r="S3732" s="1"/>
    </row>
    <row r="3733" spans="9:19" x14ac:dyDescent="0.3">
      <c r="I3733" s="1"/>
      <c r="S3733" s="1"/>
    </row>
    <row r="3734" spans="9:19" x14ac:dyDescent="0.3">
      <c r="I3734" s="1"/>
      <c r="S3734" s="1"/>
    </row>
    <row r="3735" spans="9:19" x14ac:dyDescent="0.3">
      <c r="I3735" s="1"/>
      <c r="S3735" s="1"/>
    </row>
    <row r="3736" spans="9:19" x14ac:dyDescent="0.3">
      <c r="I3736" s="1"/>
      <c r="S3736" s="1"/>
    </row>
    <row r="3737" spans="9:19" x14ac:dyDescent="0.3">
      <c r="I3737" s="1"/>
      <c r="S3737" s="1"/>
    </row>
    <row r="3738" spans="9:19" x14ac:dyDescent="0.3">
      <c r="I3738" s="1"/>
      <c r="S3738" s="1"/>
    </row>
    <row r="3739" spans="9:19" x14ac:dyDescent="0.3">
      <c r="I3739" s="1"/>
      <c r="S3739" s="1"/>
    </row>
    <row r="3740" spans="9:19" x14ac:dyDescent="0.3">
      <c r="I3740" s="1"/>
      <c r="S3740" s="1"/>
    </row>
    <row r="3741" spans="9:19" x14ac:dyDescent="0.3">
      <c r="I3741" s="1"/>
      <c r="S3741" s="1"/>
    </row>
    <row r="3742" spans="9:19" x14ac:dyDescent="0.3">
      <c r="I3742" s="1"/>
      <c r="S3742" s="1"/>
    </row>
    <row r="3743" spans="9:19" x14ac:dyDescent="0.3">
      <c r="I3743" s="1"/>
      <c r="S3743" s="1"/>
    </row>
    <row r="3744" spans="9:19" x14ac:dyDescent="0.3">
      <c r="I3744" s="1"/>
      <c r="S3744" s="1"/>
    </row>
    <row r="3745" spans="9:19" x14ac:dyDescent="0.3">
      <c r="I3745" s="1"/>
      <c r="S3745" s="1"/>
    </row>
    <row r="3746" spans="9:19" x14ac:dyDescent="0.3">
      <c r="I3746" s="1"/>
      <c r="S3746" s="1"/>
    </row>
    <row r="3747" spans="9:19" x14ac:dyDescent="0.3">
      <c r="I3747" s="1"/>
      <c r="S3747" s="1"/>
    </row>
    <row r="3748" spans="9:19" x14ac:dyDescent="0.3">
      <c r="I3748" s="1"/>
      <c r="S3748" s="1"/>
    </row>
    <row r="3749" spans="9:19" x14ac:dyDescent="0.3">
      <c r="I3749" s="1"/>
      <c r="S3749" s="1"/>
    </row>
    <row r="3750" spans="9:19" x14ac:dyDescent="0.3">
      <c r="I3750" s="1"/>
      <c r="S3750" s="1"/>
    </row>
    <row r="3751" spans="9:19" x14ac:dyDescent="0.3">
      <c r="I3751" s="1"/>
      <c r="S3751" s="1"/>
    </row>
    <row r="3752" spans="9:19" x14ac:dyDescent="0.3">
      <c r="I3752" s="1"/>
      <c r="S3752" s="1"/>
    </row>
    <row r="3753" spans="9:19" x14ac:dyDescent="0.3">
      <c r="I3753" s="1"/>
      <c r="S3753" s="1"/>
    </row>
    <row r="3754" spans="9:19" x14ac:dyDescent="0.3">
      <c r="I3754" s="1"/>
      <c r="S3754" s="1"/>
    </row>
    <row r="3755" spans="9:19" x14ac:dyDescent="0.3">
      <c r="I3755" s="1"/>
      <c r="S3755" s="1"/>
    </row>
    <row r="3756" spans="9:19" x14ac:dyDescent="0.3">
      <c r="I3756" s="1"/>
      <c r="S3756" s="1"/>
    </row>
    <row r="3757" spans="9:19" x14ac:dyDescent="0.3">
      <c r="I3757" s="1"/>
      <c r="S3757" s="1"/>
    </row>
    <row r="3758" spans="9:19" x14ac:dyDescent="0.3">
      <c r="I3758" s="1"/>
      <c r="S3758" s="1"/>
    </row>
    <row r="3759" spans="9:19" x14ac:dyDescent="0.3">
      <c r="I3759" s="1"/>
      <c r="S3759" s="1"/>
    </row>
    <row r="3760" spans="9:19" x14ac:dyDescent="0.3">
      <c r="I3760" s="1"/>
      <c r="S3760" s="1"/>
    </row>
    <row r="3761" spans="9:19" x14ac:dyDescent="0.3">
      <c r="I3761" s="1"/>
      <c r="S3761" s="1"/>
    </row>
    <row r="3762" spans="9:19" x14ac:dyDescent="0.3">
      <c r="I3762" s="1"/>
      <c r="S3762" s="1"/>
    </row>
    <row r="3763" spans="9:19" x14ac:dyDescent="0.3">
      <c r="I3763" s="1"/>
      <c r="S3763" s="1"/>
    </row>
    <row r="3764" spans="9:19" x14ac:dyDescent="0.3">
      <c r="I3764" s="1"/>
      <c r="S3764" s="1"/>
    </row>
    <row r="3765" spans="9:19" x14ac:dyDescent="0.3">
      <c r="I3765" s="1"/>
      <c r="S3765" s="1"/>
    </row>
    <row r="3766" spans="9:19" x14ac:dyDescent="0.3">
      <c r="I3766" s="1"/>
      <c r="S3766" s="1"/>
    </row>
    <row r="3767" spans="9:19" x14ac:dyDescent="0.3">
      <c r="I3767" s="1"/>
      <c r="S3767" s="1"/>
    </row>
    <row r="3768" spans="9:19" x14ac:dyDescent="0.3">
      <c r="I3768" s="1"/>
      <c r="S3768" s="1"/>
    </row>
    <row r="3769" spans="9:19" x14ac:dyDescent="0.3">
      <c r="I3769" s="1"/>
      <c r="S3769" s="1"/>
    </row>
    <row r="3770" spans="9:19" x14ac:dyDescent="0.3">
      <c r="I3770" s="1"/>
      <c r="S3770" s="1"/>
    </row>
    <row r="3771" spans="9:19" x14ac:dyDescent="0.3">
      <c r="I3771" s="1"/>
      <c r="S3771" s="1"/>
    </row>
    <row r="3772" spans="9:19" x14ac:dyDescent="0.3">
      <c r="I3772" s="1"/>
      <c r="S3772" s="1"/>
    </row>
    <row r="3773" spans="9:19" x14ac:dyDescent="0.3">
      <c r="I3773" s="1"/>
      <c r="S3773" s="1"/>
    </row>
    <row r="3774" spans="9:19" x14ac:dyDescent="0.3">
      <c r="I3774" s="1"/>
      <c r="S3774" s="1"/>
    </row>
    <row r="3775" spans="9:19" x14ac:dyDescent="0.3">
      <c r="I3775" s="1"/>
      <c r="S3775" s="1"/>
    </row>
    <row r="3776" spans="9:19" x14ac:dyDescent="0.3">
      <c r="I3776" s="1"/>
      <c r="S3776" s="1"/>
    </row>
    <row r="3777" spans="9:19" x14ac:dyDescent="0.3">
      <c r="I3777" s="1"/>
      <c r="S3777" s="1"/>
    </row>
    <row r="3778" spans="9:19" x14ac:dyDescent="0.3">
      <c r="I3778" s="1"/>
      <c r="S3778" s="1"/>
    </row>
    <row r="3779" spans="9:19" x14ac:dyDescent="0.3">
      <c r="I3779" s="1"/>
      <c r="S3779" s="1"/>
    </row>
    <row r="3780" spans="9:19" x14ac:dyDescent="0.3">
      <c r="I3780" s="1"/>
      <c r="S3780" s="1"/>
    </row>
    <row r="3781" spans="9:19" x14ac:dyDescent="0.3">
      <c r="I3781" s="1"/>
      <c r="S3781" s="1"/>
    </row>
    <row r="3782" spans="9:19" x14ac:dyDescent="0.3">
      <c r="I3782" s="1"/>
      <c r="S3782" s="1"/>
    </row>
    <row r="3783" spans="9:19" x14ac:dyDescent="0.3">
      <c r="I3783" s="1"/>
      <c r="S3783" s="1"/>
    </row>
    <row r="3784" spans="9:19" x14ac:dyDescent="0.3">
      <c r="I3784" s="1"/>
      <c r="S3784" s="1"/>
    </row>
    <row r="3785" spans="9:19" x14ac:dyDescent="0.3">
      <c r="I3785" s="1"/>
      <c r="S3785" s="1"/>
    </row>
    <row r="3786" spans="9:19" x14ac:dyDescent="0.3">
      <c r="I3786" s="1"/>
      <c r="S3786" s="1"/>
    </row>
    <row r="3787" spans="9:19" x14ac:dyDescent="0.3">
      <c r="I3787" s="1"/>
      <c r="S3787" s="1"/>
    </row>
    <row r="3788" spans="9:19" x14ac:dyDescent="0.3">
      <c r="I3788" s="1"/>
      <c r="S3788" s="1"/>
    </row>
    <row r="3789" spans="9:19" x14ac:dyDescent="0.3">
      <c r="I3789" s="1"/>
      <c r="S3789" s="1"/>
    </row>
    <row r="3790" spans="9:19" x14ac:dyDescent="0.3">
      <c r="I3790" s="1"/>
      <c r="S3790" s="1"/>
    </row>
    <row r="3791" spans="9:19" x14ac:dyDescent="0.3">
      <c r="I3791" s="1"/>
      <c r="S3791" s="1"/>
    </row>
    <row r="3792" spans="9:19" x14ac:dyDescent="0.3">
      <c r="I3792" s="1"/>
      <c r="S3792" s="1"/>
    </row>
    <row r="3793" spans="9:19" x14ac:dyDescent="0.3">
      <c r="I3793" s="1"/>
      <c r="S3793" s="1"/>
    </row>
    <row r="3794" spans="9:19" x14ac:dyDescent="0.3">
      <c r="I3794" s="1"/>
      <c r="S3794" s="1"/>
    </row>
    <row r="3795" spans="9:19" x14ac:dyDescent="0.3">
      <c r="I3795" s="1"/>
      <c r="S3795" s="1"/>
    </row>
    <row r="3796" spans="9:19" x14ac:dyDescent="0.3">
      <c r="I3796" s="1"/>
      <c r="S3796" s="1"/>
    </row>
    <row r="3797" spans="9:19" x14ac:dyDescent="0.3">
      <c r="I3797" s="1"/>
      <c r="S3797" s="1"/>
    </row>
    <row r="3798" spans="9:19" x14ac:dyDescent="0.3">
      <c r="I3798" s="1"/>
      <c r="S3798" s="1"/>
    </row>
    <row r="3799" spans="9:19" x14ac:dyDescent="0.3">
      <c r="I3799" s="1"/>
      <c r="S3799" s="1"/>
    </row>
    <row r="3800" spans="9:19" x14ac:dyDescent="0.3">
      <c r="I3800" s="1"/>
      <c r="S3800" s="1"/>
    </row>
    <row r="3801" spans="9:19" x14ac:dyDescent="0.3">
      <c r="I3801" s="1"/>
      <c r="S3801" s="1"/>
    </row>
    <row r="3802" spans="9:19" x14ac:dyDescent="0.3">
      <c r="I3802" s="1"/>
      <c r="S3802" s="1"/>
    </row>
    <row r="3803" spans="9:19" x14ac:dyDescent="0.3">
      <c r="I3803" s="1"/>
      <c r="S3803" s="1"/>
    </row>
    <row r="3804" spans="9:19" x14ac:dyDescent="0.3">
      <c r="I3804" s="1"/>
      <c r="S3804" s="1"/>
    </row>
    <row r="3805" spans="9:19" x14ac:dyDescent="0.3">
      <c r="I3805" s="1"/>
      <c r="S3805" s="1"/>
    </row>
    <row r="3806" spans="9:19" x14ac:dyDescent="0.3">
      <c r="I3806" s="1"/>
      <c r="S3806" s="1"/>
    </row>
    <row r="3807" spans="9:19" x14ac:dyDescent="0.3">
      <c r="I3807" s="1"/>
      <c r="S3807" s="1"/>
    </row>
    <row r="3808" spans="9:19" x14ac:dyDescent="0.3">
      <c r="I3808" s="1"/>
      <c r="S3808" s="1"/>
    </row>
    <row r="3809" spans="9:19" x14ac:dyDescent="0.3">
      <c r="I3809" s="1"/>
      <c r="S3809" s="1"/>
    </row>
    <row r="3810" spans="9:19" x14ac:dyDescent="0.3">
      <c r="I3810" s="1"/>
      <c r="S3810" s="1"/>
    </row>
    <row r="3811" spans="9:19" x14ac:dyDescent="0.3">
      <c r="I3811" s="1"/>
      <c r="S3811" s="1"/>
    </row>
    <row r="3812" spans="9:19" x14ac:dyDescent="0.3">
      <c r="I3812" s="1"/>
      <c r="S3812" s="1"/>
    </row>
    <row r="3813" spans="9:19" x14ac:dyDescent="0.3">
      <c r="I3813" s="1"/>
      <c r="S3813" s="1"/>
    </row>
    <row r="3814" spans="9:19" x14ac:dyDescent="0.3">
      <c r="I3814" s="1"/>
      <c r="S3814" s="1"/>
    </row>
    <row r="3815" spans="9:19" x14ac:dyDescent="0.3">
      <c r="I3815" s="1"/>
      <c r="S3815" s="1"/>
    </row>
    <row r="3816" spans="9:19" x14ac:dyDescent="0.3">
      <c r="I3816" s="1"/>
      <c r="S3816" s="1"/>
    </row>
    <row r="3817" spans="9:19" x14ac:dyDescent="0.3">
      <c r="I3817" s="1"/>
      <c r="S3817" s="1"/>
    </row>
    <row r="3818" spans="9:19" x14ac:dyDescent="0.3">
      <c r="I3818" s="1"/>
      <c r="S3818" s="1"/>
    </row>
    <row r="3819" spans="9:19" x14ac:dyDescent="0.3">
      <c r="I3819" s="1"/>
      <c r="S3819" s="1"/>
    </row>
    <row r="3820" spans="9:19" x14ac:dyDescent="0.3">
      <c r="I3820" s="1"/>
      <c r="S3820" s="1"/>
    </row>
    <row r="3821" spans="9:19" x14ac:dyDescent="0.3">
      <c r="I3821" s="1"/>
      <c r="S3821" s="1"/>
    </row>
    <row r="3822" spans="9:19" x14ac:dyDescent="0.3">
      <c r="I3822" s="1"/>
      <c r="S3822" s="1"/>
    </row>
    <row r="3823" spans="9:19" x14ac:dyDescent="0.3">
      <c r="I3823" s="1"/>
      <c r="S3823" s="1"/>
    </row>
    <row r="3824" spans="9:19" x14ac:dyDescent="0.3">
      <c r="I3824" s="1"/>
      <c r="S3824" s="1"/>
    </row>
    <row r="3825" spans="9:19" x14ac:dyDescent="0.3">
      <c r="I3825" s="1"/>
      <c r="S3825" s="1"/>
    </row>
    <row r="3826" spans="9:19" x14ac:dyDescent="0.3">
      <c r="I3826" s="1"/>
      <c r="S3826" s="1"/>
    </row>
    <row r="3827" spans="9:19" x14ac:dyDescent="0.3">
      <c r="I3827" s="1"/>
      <c r="S3827" s="1"/>
    </row>
    <row r="3828" spans="9:19" x14ac:dyDescent="0.3">
      <c r="I3828" s="1"/>
      <c r="S3828" s="1"/>
    </row>
    <row r="3829" spans="9:19" x14ac:dyDescent="0.3">
      <c r="I3829" s="1"/>
      <c r="S3829" s="1"/>
    </row>
    <row r="3830" spans="9:19" x14ac:dyDescent="0.3">
      <c r="I3830" s="1"/>
      <c r="S3830" s="1"/>
    </row>
    <row r="3831" spans="9:19" x14ac:dyDescent="0.3">
      <c r="I3831" s="1"/>
      <c r="S3831" s="1"/>
    </row>
    <row r="3832" spans="9:19" x14ac:dyDescent="0.3">
      <c r="I3832" s="1"/>
      <c r="S3832" s="1"/>
    </row>
    <row r="3833" spans="9:19" x14ac:dyDescent="0.3">
      <c r="I3833" s="1"/>
      <c r="S3833" s="1"/>
    </row>
    <row r="3834" spans="9:19" x14ac:dyDescent="0.3">
      <c r="I3834" s="1"/>
      <c r="S3834" s="1"/>
    </row>
    <row r="3835" spans="9:19" x14ac:dyDescent="0.3">
      <c r="I3835" s="1"/>
      <c r="S3835" s="1"/>
    </row>
    <row r="3836" spans="9:19" x14ac:dyDescent="0.3">
      <c r="I3836" s="1"/>
      <c r="S3836" s="1"/>
    </row>
    <row r="3837" spans="9:19" x14ac:dyDescent="0.3">
      <c r="I3837" s="1"/>
      <c r="S3837" s="1"/>
    </row>
    <row r="3838" spans="9:19" x14ac:dyDescent="0.3">
      <c r="I3838" s="1"/>
      <c r="S3838" s="1"/>
    </row>
    <row r="3839" spans="9:19" x14ac:dyDescent="0.3">
      <c r="I3839" s="1"/>
      <c r="S3839" s="1"/>
    </row>
    <row r="3840" spans="9:19" x14ac:dyDescent="0.3">
      <c r="I3840" s="1"/>
      <c r="S3840" s="1"/>
    </row>
    <row r="3841" spans="9:19" x14ac:dyDescent="0.3">
      <c r="I3841" s="1"/>
      <c r="S3841" s="1"/>
    </row>
    <row r="3842" spans="9:19" x14ac:dyDescent="0.3">
      <c r="I3842" s="1"/>
      <c r="S3842" s="1"/>
    </row>
    <row r="3843" spans="9:19" x14ac:dyDescent="0.3">
      <c r="I3843" s="1"/>
      <c r="S3843" s="1"/>
    </row>
    <row r="3844" spans="9:19" x14ac:dyDescent="0.3">
      <c r="I3844" s="1"/>
      <c r="S3844" s="1"/>
    </row>
    <row r="3845" spans="9:19" x14ac:dyDescent="0.3">
      <c r="I3845" s="1"/>
      <c r="S3845" s="1"/>
    </row>
    <row r="3846" spans="9:19" x14ac:dyDescent="0.3">
      <c r="I3846" s="1"/>
      <c r="S3846" s="1"/>
    </row>
    <row r="3847" spans="9:19" x14ac:dyDescent="0.3">
      <c r="I3847" s="1"/>
      <c r="S3847" s="1"/>
    </row>
    <row r="3848" spans="9:19" x14ac:dyDescent="0.3">
      <c r="I3848" s="1"/>
      <c r="S3848" s="1"/>
    </row>
    <row r="3849" spans="9:19" x14ac:dyDescent="0.3">
      <c r="I3849" s="1"/>
      <c r="S3849" s="1"/>
    </row>
    <row r="3850" spans="9:19" x14ac:dyDescent="0.3">
      <c r="I3850" s="1"/>
      <c r="S3850" s="1"/>
    </row>
    <row r="3851" spans="9:19" x14ac:dyDescent="0.3">
      <c r="I3851" s="1"/>
      <c r="S3851" s="1"/>
    </row>
    <row r="3852" spans="9:19" x14ac:dyDescent="0.3">
      <c r="I3852" s="1"/>
      <c r="S3852" s="1"/>
    </row>
    <row r="3853" spans="9:19" x14ac:dyDescent="0.3">
      <c r="I3853" s="1"/>
      <c r="S3853" s="1"/>
    </row>
    <row r="3854" spans="9:19" x14ac:dyDescent="0.3">
      <c r="I3854" s="1"/>
      <c r="S3854" s="1"/>
    </row>
    <row r="3855" spans="9:19" x14ac:dyDescent="0.3">
      <c r="I3855" s="1"/>
      <c r="S3855" s="1"/>
    </row>
    <row r="3856" spans="9:19" x14ac:dyDescent="0.3">
      <c r="I3856" s="1"/>
      <c r="S3856" s="1"/>
    </row>
    <row r="3857" spans="9:19" x14ac:dyDescent="0.3">
      <c r="I3857" s="1"/>
      <c r="S3857" s="1"/>
    </row>
    <row r="3858" spans="9:19" x14ac:dyDescent="0.3">
      <c r="I3858" s="1"/>
      <c r="S3858" s="1"/>
    </row>
    <row r="3859" spans="9:19" x14ac:dyDescent="0.3">
      <c r="I3859" s="1"/>
      <c r="S3859" s="1"/>
    </row>
    <row r="3860" spans="9:19" x14ac:dyDescent="0.3">
      <c r="I3860" s="1"/>
      <c r="S3860" s="1"/>
    </row>
    <row r="3861" spans="9:19" x14ac:dyDescent="0.3">
      <c r="I3861" s="1"/>
      <c r="S3861" s="1"/>
    </row>
    <row r="3862" spans="9:19" x14ac:dyDescent="0.3">
      <c r="I3862" s="1"/>
      <c r="S3862" s="1"/>
    </row>
    <row r="3863" spans="9:19" x14ac:dyDescent="0.3">
      <c r="I3863" s="1"/>
      <c r="S3863" s="1"/>
    </row>
    <row r="3864" spans="9:19" x14ac:dyDescent="0.3">
      <c r="I3864" s="1"/>
      <c r="S3864" s="1"/>
    </row>
    <row r="3865" spans="9:19" x14ac:dyDescent="0.3">
      <c r="I3865" s="1"/>
      <c r="S3865" s="1"/>
    </row>
    <row r="3866" spans="9:19" x14ac:dyDescent="0.3">
      <c r="I3866" s="1"/>
      <c r="S3866" s="1"/>
    </row>
    <row r="3867" spans="9:19" x14ac:dyDescent="0.3">
      <c r="I3867" s="1"/>
      <c r="S3867" s="1"/>
    </row>
    <row r="3868" spans="9:19" x14ac:dyDescent="0.3">
      <c r="I3868" s="1"/>
      <c r="S3868" s="1"/>
    </row>
    <row r="3869" spans="9:19" x14ac:dyDescent="0.3">
      <c r="I3869" s="1"/>
      <c r="S3869" s="1"/>
    </row>
    <row r="3870" spans="9:19" x14ac:dyDescent="0.3">
      <c r="I3870" s="1"/>
      <c r="S3870" s="1"/>
    </row>
    <row r="3871" spans="9:19" x14ac:dyDescent="0.3">
      <c r="I3871" s="1"/>
      <c r="S3871" s="1"/>
    </row>
    <row r="3872" spans="9:19" x14ac:dyDescent="0.3">
      <c r="I3872" s="1"/>
      <c r="S3872" s="1"/>
    </row>
    <row r="3873" spans="9:19" x14ac:dyDescent="0.3">
      <c r="I3873" s="1"/>
      <c r="S3873" s="1"/>
    </row>
    <row r="3874" spans="9:19" x14ac:dyDescent="0.3">
      <c r="I3874" s="1"/>
      <c r="S3874" s="1"/>
    </row>
    <row r="3875" spans="9:19" x14ac:dyDescent="0.3">
      <c r="I3875" s="1"/>
      <c r="S3875" s="1"/>
    </row>
    <row r="3876" spans="9:19" x14ac:dyDescent="0.3">
      <c r="I3876" s="1"/>
      <c r="S3876" s="1"/>
    </row>
    <row r="3877" spans="9:19" x14ac:dyDescent="0.3">
      <c r="I3877" s="1"/>
      <c r="S3877" s="1"/>
    </row>
    <row r="3878" spans="9:19" x14ac:dyDescent="0.3">
      <c r="I3878" s="1"/>
      <c r="S3878" s="1"/>
    </row>
    <row r="3879" spans="9:19" x14ac:dyDescent="0.3">
      <c r="I3879" s="1"/>
      <c r="S3879" s="1"/>
    </row>
    <row r="3880" spans="9:19" x14ac:dyDescent="0.3">
      <c r="I3880" s="1"/>
      <c r="S3880" s="1"/>
    </row>
    <row r="3881" spans="9:19" x14ac:dyDescent="0.3">
      <c r="I3881" s="1"/>
      <c r="S3881" s="1"/>
    </row>
    <row r="3882" spans="9:19" x14ac:dyDescent="0.3">
      <c r="I3882" s="1"/>
      <c r="S3882" s="1"/>
    </row>
    <row r="3883" spans="9:19" x14ac:dyDescent="0.3">
      <c r="I3883" s="1"/>
      <c r="S3883" s="1"/>
    </row>
    <row r="3884" spans="9:19" x14ac:dyDescent="0.3">
      <c r="I3884" s="1"/>
      <c r="S3884" s="1"/>
    </row>
    <row r="3885" spans="9:19" x14ac:dyDescent="0.3">
      <c r="I3885" s="1"/>
      <c r="S3885" s="1"/>
    </row>
    <row r="3886" spans="9:19" x14ac:dyDescent="0.3">
      <c r="I3886" s="1"/>
      <c r="S3886" s="1"/>
    </row>
    <row r="3887" spans="9:19" x14ac:dyDescent="0.3">
      <c r="I3887" s="1"/>
      <c r="S3887" s="1"/>
    </row>
    <row r="3888" spans="9:19" x14ac:dyDescent="0.3">
      <c r="I3888" s="1"/>
      <c r="S3888" s="1"/>
    </row>
    <row r="3889" spans="9:19" x14ac:dyDescent="0.3">
      <c r="I3889" s="1"/>
      <c r="S3889" s="1"/>
    </row>
    <row r="3890" spans="9:19" x14ac:dyDescent="0.3">
      <c r="I3890" s="1"/>
      <c r="S3890" s="1"/>
    </row>
    <row r="3891" spans="9:19" x14ac:dyDescent="0.3">
      <c r="I3891" s="1"/>
      <c r="S3891" s="1"/>
    </row>
    <row r="3892" spans="9:19" x14ac:dyDescent="0.3">
      <c r="I3892" s="1"/>
      <c r="S3892" s="1"/>
    </row>
    <row r="3893" spans="9:19" x14ac:dyDescent="0.3">
      <c r="I3893" s="1"/>
      <c r="S3893" s="1"/>
    </row>
    <row r="3894" spans="9:19" x14ac:dyDescent="0.3">
      <c r="I3894" s="1"/>
      <c r="S3894" s="1"/>
    </row>
    <row r="3895" spans="9:19" x14ac:dyDescent="0.3">
      <c r="I3895" s="1"/>
      <c r="S3895" s="1"/>
    </row>
    <row r="3896" spans="9:19" x14ac:dyDescent="0.3">
      <c r="I3896" s="1"/>
      <c r="S3896" s="1"/>
    </row>
    <row r="3897" spans="9:19" x14ac:dyDescent="0.3">
      <c r="I3897" s="1"/>
      <c r="S3897" s="1"/>
    </row>
    <row r="3898" spans="9:19" x14ac:dyDescent="0.3">
      <c r="I3898" s="1"/>
      <c r="S3898" s="1"/>
    </row>
    <row r="3899" spans="9:19" x14ac:dyDescent="0.3">
      <c r="I3899" s="1"/>
      <c r="S3899" s="1"/>
    </row>
    <row r="3900" spans="9:19" x14ac:dyDescent="0.3">
      <c r="I3900" s="1"/>
      <c r="S3900" s="1"/>
    </row>
    <row r="3901" spans="9:19" x14ac:dyDescent="0.3">
      <c r="I3901" s="1"/>
      <c r="S3901" s="1"/>
    </row>
    <row r="3902" spans="9:19" x14ac:dyDescent="0.3">
      <c r="I3902" s="1"/>
      <c r="S3902" s="1"/>
    </row>
    <row r="3903" spans="9:19" x14ac:dyDescent="0.3">
      <c r="I3903" s="1"/>
      <c r="S3903" s="1"/>
    </row>
    <row r="3904" spans="9:19" x14ac:dyDescent="0.3">
      <c r="I3904" s="1"/>
      <c r="S3904" s="1"/>
    </row>
    <row r="3905" spans="9:19" x14ac:dyDescent="0.3">
      <c r="I3905" s="1"/>
      <c r="S3905" s="1"/>
    </row>
    <row r="3906" spans="9:19" x14ac:dyDescent="0.3">
      <c r="I3906" s="1"/>
      <c r="S3906" s="1"/>
    </row>
    <row r="3907" spans="9:19" x14ac:dyDescent="0.3">
      <c r="I3907" s="1"/>
      <c r="S3907" s="1"/>
    </row>
    <row r="3908" spans="9:19" x14ac:dyDescent="0.3">
      <c r="I3908" s="1"/>
      <c r="S3908" s="1"/>
    </row>
    <row r="3909" spans="9:19" x14ac:dyDescent="0.3">
      <c r="I3909" s="1"/>
      <c r="S3909" s="1"/>
    </row>
    <row r="3910" spans="9:19" x14ac:dyDescent="0.3">
      <c r="I3910" s="1"/>
      <c r="S3910" s="1"/>
    </row>
    <row r="3911" spans="9:19" x14ac:dyDescent="0.3">
      <c r="I3911" s="1"/>
      <c r="S3911" s="1"/>
    </row>
    <row r="3912" spans="9:19" x14ac:dyDescent="0.3">
      <c r="I3912" s="1"/>
      <c r="S3912" s="1"/>
    </row>
    <row r="3913" spans="9:19" x14ac:dyDescent="0.3">
      <c r="I3913" s="1"/>
      <c r="S3913" s="1"/>
    </row>
    <row r="3914" spans="9:19" x14ac:dyDescent="0.3">
      <c r="I3914" s="1"/>
      <c r="S3914" s="1"/>
    </row>
    <row r="3915" spans="9:19" x14ac:dyDescent="0.3">
      <c r="I3915" s="1"/>
      <c r="S3915" s="1"/>
    </row>
    <row r="3916" spans="9:19" x14ac:dyDescent="0.3">
      <c r="I3916" s="1"/>
      <c r="S3916" s="1"/>
    </row>
    <row r="3917" spans="9:19" x14ac:dyDescent="0.3">
      <c r="I3917" s="1"/>
      <c r="S3917" s="1"/>
    </row>
    <row r="3918" spans="9:19" x14ac:dyDescent="0.3">
      <c r="I3918" s="1"/>
      <c r="S3918" s="1"/>
    </row>
    <row r="3919" spans="9:19" x14ac:dyDescent="0.3">
      <c r="I3919" s="1"/>
      <c r="S3919" s="1"/>
    </row>
    <row r="3920" spans="9:19" x14ac:dyDescent="0.3">
      <c r="I3920" s="1"/>
      <c r="S3920" s="1"/>
    </row>
    <row r="3921" spans="9:19" x14ac:dyDescent="0.3">
      <c r="I3921" s="1"/>
      <c r="S3921" s="1"/>
    </row>
    <row r="3922" spans="9:19" x14ac:dyDescent="0.3">
      <c r="I3922" s="1"/>
      <c r="S3922" s="1"/>
    </row>
    <row r="3923" spans="9:19" x14ac:dyDescent="0.3">
      <c r="I3923" s="1"/>
      <c r="S3923" s="1"/>
    </row>
    <row r="3924" spans="9:19" x14ac:dyDescent="0.3">
      <c r="I3924" s="1"/>
      <c r="S3924" s="1"/>
    </row>
    <row r="3925" spans="9:19" x14ac:dyDescent="0.3">
      <c r="I3925" s="1"/>
      <c r="S3925" s="1"/>
    </row>
    <row r="3926" spans="9:19" x14ac:dyDescent="0.3">
      <c r="I3926" s="1"/>
      <c r="S3926" s="1"/>
    </row>
    <row r="3927" spans="9:19" x14ac:dyDescent="0.3">
      <c r="I3927" s="1"/>
      <c r="S3927" s="1"/>
    </row>
    <row r="3928" spans="9:19" x14ac:dyDescent="0.3">
      <c r="I3928" s="1"/>
      <c r="S3928" s="1"/>
    </row>
    <row r="3929" spans="9:19" x14ac:dyDescent="0.3">
      <c r="I3929" s="1"/>
      <c r="S3929" s="1"/>
    </row>
    <row r="3930" spans="9:19" x14ac:dyDescent="0.3">
      <c r="I3930" s="1"/>
      <c r="S3930" s="1"/>
    </row>
    <row r="3931" spans="9:19" x14ac:dyDescent="0.3">
      <c r="I3931" s="1"/>
      <c r="S3931" s="1"/>
    </row>
    <row r="3932" spans="9:19" x14ac:dyDescent="0.3">
      <c r="I3932" s="1"/>
      <c r="S3932" s="1"/>
    </row>
    <row r="3933" spans="9:19" x14ac:dyDescent="0.3">
      <c r="I3933" s="1"/>
      <c r="S3933" s="1"/>
    </row>
    <row r="3934" spans="9:19" x14ac:dyDescent="0.3">
      <c r="I3934" s="1"/>
      <c r="S3934" s="1"/>
    </row>
    <row r="3935" spans="9:19" x14ac:dyDescent="0.3">
      <c r="I3935" s="1"/>
      <c r="S3935" s="1"/>
    </row>
    <row r="3936" spans="9:19" x14ac:dyDescent="0.3">
      <c r="I3936" s="1"/>
      <c r="S3936" s="1"/>
    </row>
    <row r="3937" spans="9:19" x14ac:dyDescent="0.3">
      <c r="I3937" s="1"/>
      <c r="S3937" s="1"/>
    </row>
    <row r="3938" spans="9:19" x14ac:dyDescent="0.3">
      <c r="I3938" s="1"/>
      <c r="S3938" s="1"/>
    </row>
    <row r="3939" spans="9:19" x14ac:dyDescent="0.3">
      <c r="I3939" s="1"/>
      <c r="S3939" s="1"/>
    </row>
    <row r="3940" spans="9:19" x14ac:dyDescent="0.3">
      <c r="I3940" s="1"/>
      <c r="S3940" s="1"/>
    </row>
    <row r="3941" spans="9:19" x14ac:dyDescent="0.3">
      <c r="I3941" s="1"/>
      <c r="S3941" s="1"/>
    </row>
    <row r="3942" spans="9:19" x14ac:dyDescent="0.3">
      <c r="I3942" s="1"/>
      <c r="S3942" s="1"/>
    </row>
    <row r="3943" spans="9:19" x14ac:dyDescent="0.3">
      <c r="I3943" s="1"/>
      <c r="S3943" s="1"/>
    </row>
    <row r="3944" spans="9:19" x14ac:dyDescent="0.3">
      <c r="I3944" s="1"/>
      <c r="S3944" s="1"/>
    </row>
    <row r="3945" spans="9:19" x14ac:dyDescent="0.3">
      <c r="I3945" s="1"/>
      <c r="S3945" s="1"/>
    </row>
    <row r="3946" spans="9:19" x14ac:dyDescent="0.3">
      <c r="I3946" s="1"/>
      <c r="S3946" s="1"/>
    </row>
    <row r="3947" spans="9:19" x14ac:dyDescent="0.3">
      <c r="I3947" s="1"/>
      <c r="S3947" s="1"/>
    </row>
    <row r="3948" spans="9:19" x14ac:dyDescent="0.3">
      <c r="I3948" s="1"/>
      <c r="S3948" s="1"/>
    </row>
    <row r="3949" spans="9:19" x14ac:dyDescent="0.3">
      <c r="I3949" s="1"/>
      <c r="S3949" s="1"/>
    </row>
    <row r="3950" spans="9:19" x14ac:dyDescent="0.3">
      <c r="I3950" s="1"/>
      <c r="S3950" s="1"/>
    </row>
    <row r="3951" spans="9:19" x14ac:dyDescent="0.3">
      <c r="I3951" s="1"/>
      <c r="S3951" s="1"/>
    </row>
    <row r="3952" spans="9:19" x14ac:dyDescent="0.3">
      <c r="I3952" s="1"/>
      <c r="S3952" s="1"/>
    </row>
    <row r="3953" spans="9:19" x14ac:dyDescent="0.3">
      <c r="I3953" s="1"/>
      <c r="S3953" s="1"/>
    </row>
    <row r="3954" spans="9:19" x14ac:dyDescent="0.3">
      <c r="I3954" s="1"/>
      <c r="S3954" s="1"/>
    </row>
    <row r="3955" spans="9:19" x14ac:dyDescent="0.3">
      <c r="I3955" s="1"/>
      <c r="S3955" s="1"/>
    </row>
    <row r="3956" spans="9:19" x14ac:dyDescent="0.3">
      <c r="I3956" s="1"/>
      <c r="S3956" s="1"/>
    </row>
    <row r="3957" spans="9:19" x14ac:dyDescent="0.3">
      <c r="I3957" s="1"/>
      <c r="S3957" s="1"/>
    </row>
    <row r="3958" spans="9:19" x14ac:dyDescent="0.3">
      <c r="I3958" s="1"/>
      <c r="S3958" s="1"/>
    </row>
    <row r="3959" spans="9:19" x14ac:dyDescent="0.3">
      <c r="I3959" s="1"/>
      <c r="S3959" s="1"/>
    </row>
    <row r="3960" spans="9:19" x14ac:dyDescent="0.3">
      <c r="I3960" s="1"/>
      <c r="S3960" s="1"/>
    </row>
    <row r="3961" spans="9:19" x14ac:dyDescent="0.3">
      <c r="I3961" s="1"/>
      <c r="S3961" s="1"/>
    </row>
    <row r="3962" spans="9:19" x14ac:dyDescent="0.3">
      <c r="I3962" s="1"/>
      <c r="S3962" s="1"/>
    </row>
    <row r="3963" spans="9:19" x14ac:dyDescent="0.3">
      <c r="I3963" s="1"/>
      <c r="S3963" s="1"/>
    </row>
    <row r="3964" spans="9:19" x14ac:dyDescent="0.3">
      <c r="I3964" s="1"/>
      <c r="S3964" s="1"/>
    </row>
    <row r="3965" spans="9:19" x14ac:dyDescent="0.3">
      <c r="I3965" s="1"/>
      <c r="S3965" s="1"/>
    </row>
    <row r="3966" spans="9:19" x14ac:dyDescent="0.3">
      <c r="I3966" s="1"/>
      <c r="S3966" s="1"/>
    </row>
    <row r="3967" spans="9:19" x14ac:dyDescent="0.3">
      <c r="I3967" s="1"/>
      <c r="S3967" s="1"/>
    </row>
    <row r="3968" spans="9:19" x14ac:dyDescent="0.3">
      <c r="I3968" s="1"/>
      <c r="S3968" s="1"/>
    </row>
    <row r="3969" spans="9:19" x14ac:dyDescent="0.3">
      <c r="I3969" s="1"/>
      <c r="S3969" s="1"/>
    </row>
    <row r="3970" spans="9:19" x14ac:dyDescent="0.3">
      <c r="I3970" s="1"/>
      <c r="S3970" s="1"/>
    </row>
    <row r="3971" spans="9:19" x14ac:dyDescent="0.3">
      <c r="I3971" s="1"/>
      <c r="S3971" s="1"/>
    </row>
    <row r="3972" spans="9:19" x14ac:dyDescent="0.3">
      <c r="I3972" s="1"/>
      <c r="S3972" s="1"/>
    </row>
    <row r="3973" spans="9:19" x14ac:dyDescent="0.3">
      <c r="I3973" s="1"/>
      <c r="S3973" s="1"/>
    </row>
    <row r="3974" spans="9:19" x14ac:dyDescent="0.3">
      <c r="I3974" s="1"/>
      <c r="S3974" s="1"/>
    </row>
    <row r="3975" spans="9:19" x14ac:dyDescent="0.3">
      <c r="I3975" s="1"/>
      <c r="S3975" s="1"/>
    </row>
    <row r="3976" spans="9:19" x14ac:dyDescent="0.3">
      <c r="I3976" s="1"/>
      <c r="S3976" s="1"/>
    </row>
    <row r="3977" spans="9:19" x14ac:dyDescent="0.3">
      <c r="I3977" s="1"/>
      <c r="S3977" s="1"/>
    </row>
    <row r="3978" spans="9:19" x14ac:dyDescent="0.3">
      <c r="I3978" s="1"/>
      <c r="S3978" s="1"/>
    </row>
    <row r="3979" spans="9:19" x14ac:dyDescent="0.3">
      <c r="I3979" s="1"/>
      <c r="S3979" s="1"/>
    </row>
    <row r="3980" spans="9:19" x14ac:dyDescent="0.3">
      <c r="I3980" s="1"/>
      <c r="S3980" s="1"/>
    </row>
    <row r="3981" spans="9:19" x14ac:dyDescent="0.3">
      <c r="I3981" s="1"/>
      <c r="S3981" s="1"/>
    </row>
    <row r="3982" spans="9:19" x14ac:dyDescent="0.3">
      <c r="I3982" s="1"/>
      <c r="S3982" s="1"/>
    </row>
    <row r="3983" spans="9:19" x14ac:dyDescent="0.3">
      <c r="I3983" s="1"/>
      <c r="S3983" s="1"/>
    </row>
    <row r="3984" spans="9:19" x14ac:dyDescent="0.3">
      <c r="I3984" s="1"/>
      <c r="S3984" s="1"/>
    </row>
    <row r="3985" spans="9:19" x14ac:dyDescent="0.3">
      <c r="I3985" s="1"/>
      <c r="S3985" s="1"/>
    </row>
    <row r="3986" spans="9:19" x14ac:dyDescent="0.3">
      <c r="I3986" s="1"/>
      <c r="S3986" s="1"/>
    </row>
    <row r="3987" spans="9:19" x14ac:dyDescent="0.3">
      <c r="I3987" s="1"/>
      <c r="S3987" s="1"/>
    </row>
    <row r="3988" spans="9:19" x14ac:dyDescent="0.3">
      <c r="I3988" s="1"/>
      <c r="S3988" s="1"/>
    </row>
    <row r="3989" spans="9:19" x14ac:dyDescent="0.3">
      <c r="I3989" s="1"/>
      <c r="S3989" s="1"/>
    </row>
    <row r="3990" spans="9:19" x14ac:dyDescent="0.3">
      <c r="I3990" s="1"/>
      <c r="S3990" s="1"/>
    </row>
    <row r="3991" spans="9:19" x14ac:dyDescent="0.3">
      <c r="I3991" s="1"/>
      <c r="S3991" s="1"/>
    </row>
    <row r="3992" spans="9:19" x14ac:dyDescent="0.3">
      <c r="I3992" s="1"/>
      <c r="S3992" s="1"/>
    </row>
    <row r="3993" spans="9:19" x14ac:dyDescent="0.3">
      <c r="I3993" s="1"/>
      <c r="S3993" s="1"/>
    </row>
    <row r="3994" spans="9:19" x14ac:dyDescent="0.3">
      <c r="I3994" s="1"/>
      <c r="S3994" s="1"/>
    </row>
    <row r="3995" spans="9:19" x14ac:dyDescent="0.3">
      <c r="I3995" s="1"/>
      <c r="S3995" s="1"/>
    </row>
    <row r="3996" spans="9:19" x14ac:dyDescent="0.3">
      <c r="I3996" s="1"/>
      <c r="S3996" s="1"/>
    </row>
    <row r="3997" spans="9:19" x14ac:dyDescent="0.3">
      <c r="I3997" s="1"/>
      <c r="S3997" s="1"/>
    </row>
    <row r="3998" spans="9:19" x14ac:dyDescent="0.3">
      <c r="I3998" s="1"/>
      <c r="S3998" s="1"/>
    </row>
    <row r="3999" spans="9:19" x14ac:dyDescent="0.3">
      <c r="I3999" s="1"/>
      <c r="S3999" s="1"/>
    </row>
    <row r="4000" spans="9:19" x14ac:dyDescent="0.3">
      <c r="I4000" s="1"/>
      <c r="S4000" s="1"/>
    </row>
    <row r="4001" spans="9:19" x14ac:dyDescent="0.3">
      <c r="I4001" s="1"/>
      <c r="S4001" s="1"/>
    </row>
    <row r="4002" spans="9:19" x14ac:dyDescent="0.3">
      <c r="I4002" s="1"/>
      <c r="S4002" s="1"/>
    </row>
    <row r="4003" spans="9:19" x14ac:dyDescent="0.3">
      <c r="I4003" s="1"/>
      <c r="S4003" s="1"/>
    </row>
    <row r="4004" spans="9:19" x14ac:dyDescent="0.3">
      <c r="I4004" s="1"/>
      <c r="S4004" s="1"/>
    </row>
    <row r="4005" spans="9:19" x14ac:dyDescent="0.3">
      <c r="I4005" s="1"/>
      <c r="S4005" s="1"/>
    </row>
    <row r="4006" spans="9:19" x14ac:dyDescent="0.3">
      <c r="I4006" s="1"/>
      <c r="S4006" s="1"/>
    </row>
    <row r="4007" spans="9:19" x14ac:dyDescent="0.3">
      <c r="I4007" s="1"/>
      <c r="S4007" s="1"/>
    </row>
    <row r="4008" spans="9:19" x14ac:dyDescent="0.3">
      <c r="I4008" s="1"/>
      <c r="S4008" s="1"/>
    </row>
    <row r="4009" spans="9:19" x14ac:dyDescent="0.3">
      <c r="I4009" s="1"/>
      <c r="S4009" s="1"/>
    </row>
    <row r="4010" spans="9:19" x14ac:dyDescent="0.3">
      <c r="I4010" s="1"/>
      <c r="S4010" s="1"/>
    </row>
    <row r="4011" spans="9:19" x14ac:dyDescent="0.3">
      <c r="I4011" s="1"/>
      <c r="S4011" s="1"/>
    </row>
    <row r="4012" spans="9:19" x14ac:dyDescent="0.3">
      <c r="I4012" s="1"/>
      <c r="S4012" s="1"/>
    </row>
    <row r="4013" spans="9:19" x14ac:dyDescent="0.3">
      <c r="I4013" s="1"/>
      <c r="S4013" s="1"/>
    </row>
    <row r="4014" spans="9:19" x14ac:dyDescent="0.3">
      <c r="I4014" s="1"/>
      <c r="S4014" s="1"/>
    </row>
    <row r="4015" spans="9:19" x14ac:dyDescent="0.3">
      <c r="I4015" s="1"/>
      <c r="S4015" s="1"/>
    </row>
    <row r="4016" spans="9:19" x14ac:dyDescent="0.3">
      <c r="I4016" s="1"/>
      <c r="S4016" s="1"/>
    </row>
    <row r="4017" spans="9:19" x14ac:dyDescent="0.3">
      <c r="I4017" s="1"/>
      <c r="S4017" s="1"/>
    </row>
    <row r="4018" spans="9:19" x14ac:dyDescent="0.3">
      <c r="I4018" s="1"/>
      <c r="S4018" s="1"/>
    </row>
    <row r="4019" spans="9:19" x14ac:dyDescent="0.3">
      <c r="I4019" s="1"/>
      <c r="S4019" s="1"/>
    </row>
    <row r="4020" spans="9:19" x14ac:dyDescent="0.3">
      <c r="I4020" s="1"/>
      <c r="S4020" s="1"/>
    </row>
    <row r="4021" spans="9:19" x14ac:dyDescent="0.3">
      <c r="I4021" s="1"/>
      <c r="S4021" s="1"/>
    </row>
    <row r="4022" spans="9:19" x14ac:dyDescent="0.3">
      <c r="I4022" s="1"/>
      <c r="S4022" s="1"/>
    </row>
    <row r="4023" spans="9:19" x14ac:dyDescent="0.3">
      <c r="I4023" s="1"/>
      <c r="S4023" s="1"/>
    </row>
    <row r="4024" spans="9:19" x14ac:dyDescent="0.3">
      <c r="I4024" s="1"/>
      <c r="S4024" s="1"/>
    </row>
    <row r="4025" spans="9:19" x14ac:dyDescent="0.3">
      <c r="I4025" s="1"/>
      <c r="S4025" s="1"/>
    </row>
    <row r="4026" spans="9:19" x14ac:dyDescent="0.3">
      <c r="I4026" s="1"/>
      <c r="S4026" s="1"/>
    </row>
    <row r="4027" spans="9:19" x14ac:dyDescent="0.3">
      <c r="I4027" s="1"/>
      <c r="S4027" s="1"/>
    </row>
    <row r="4028" spans="9:19" x14ac:dyDescent="0.3">
      <c r="I4028" s="1"/>
      <c r="S4028" s="1"/>
    </row>
    <row r="4029" spans="9:19" x14ac:dyDescent="0.3">
      <c r="I4029" s="1"/>
      <c r="S4029" s="1"/>
    </row>
    <row r="4030" spans="9:19" x14ac:dyDescent="0.3">
      <c r="I4030" s="1"/>
      <c r="S4030" s="1"/>
    </row>
    <row r="4031" spans="9:19" x14ac:dyDescent="0.3">
      <c r="I4031" s="1"/>
      <c r="S4031" s="1"/>
    </row>
    <row r="4032" spans="9:19" x14ac:dyDescent="0.3">
      <c r="I4032" s="1"/>
      <c r="S4032" s="1"/>
    </row>
    <row r="4033" spans="9:19" x14ac:dyDescent="0.3">
      <c r="I4033" s="1"/>
      <c r="S4033" s="1"/>
    </row>
    <row r="4034" spans="9:19" x14ac:dyDescent="0.3">
      <c r="I4034" s="1"/>
      <c r="S4034" s="1"/>
    </row>
    <row r="4035" spans="9:19" x14ac:dyDescent="0.3">
      <c r="I4035" s="1"/>
      <c r="S4035" s="1"/>
    </row>
    <row r="4036" spans="9:19" x14ac:dyDescent="0.3">
      <c r="I4036" s="1"/>
      <c r="S4036" s="1"/>
    </row>
    <row r="4037" spans="9:19" x14ac:dyDescent="0.3">
      <c r="I4037" s="1"/>
      <c r="S4037" s="1"/>
    </row>
    <row r="4038" spans="9:19" x14ac:dyDescent="0.3">
      <c r="I4038" s="1"/>
      <c r="S4038" s="1"/>
    </row>
    <row r="4039" spans="9:19" x14ac:dyDescent="0.3">
      <c r="I4039" s="1"/>
      <c r="S4039" s="1"/>
    </row>
    <row r="4040" spans="9:19" x14ac:dyDescent="0.3">
      <c r="I4040" s="1"/>
      <c r="S4040" s="1"/>
    </row>
    <row r="4041" spans="9:19" x14ac:dyDescent="0.3">
      <c r="I4041" s="1"/>
      <c r="S4041" s="1"/>
    </row>
    <row r="4042" spans="9:19" x14ac:dyDescent="0.3">
      <c r="I4042" s="1"/>
      <c r="S4042" s="1"/>
    </row>
    <row r="4043" spans="9:19" x14ac:dyDescent="0.3">
      <c r="I4043" s="1"/>
      <c r="S4043" s="1"/>
    </row>
    <row r="4044" spans="9:19" x14ac:dyDescent="0.3">
      <c r="I4044" s="1"/>
      <c r="S4044" s="1"/>
    </row>
    <row r="4045" spans="9:19" x14ac:dyDescent="0.3">
      <c r="I4045" s="1"/>
      <c r="S4045" s="1"/>
    </row>
    <row r="4046" spans="9:19" x14ac:dyDescent="0.3">
      <c r="I4046" s="1"/>
      <c r="S4046" s="1"/>
    </row>
    <row r="4047" spans="9:19" x14ac:dyDescent="0.3">
      <c r="I4047" s="1"/>
      <c r="S4047" s="1"/>
    </row>
    <row r="4048" spans="9:19" x14ac:dyDescent="0.3">
      <c r="I4048" s="1"/>
      <c r="S4048" s="1"/>
    </row>
    <row r="4049" spans="9:19" x14ac:dyDescent="0.3">
      <c r="I4049" s="1"/>
      <c r="S4049" s="1"/>
    </row>
    <row r="4050" spans="9:19" x14ac:dyDescent="0.3">
      <c r="I4050" s="1"/>
      <c r="S4050" s="1"/>
    </row>
    <row r="4051" spans="9:19" x14ac:dyDescent="0.3">
      <c r="I4051" s="1"/>
      <c r="S4051" s="1"/>
    </row>
    <row r="4052" spans="9:19" x14ac:dyDescent="0.3">
      <c r="I4052" s="1"/>
      <c r="S4052" s="1"/>
    </row>
    <row r="4053" spans="9:19" x14ac:dyDescent="0.3">
      <c r="I4053" s="1"/>
      <c r="S4053" s="1"/>
    </row>
    <row r="4054" spans="9:19" x14ac:dyDescent="0.3">
      <c r="I4054" s="1"/>
      <c r="S4054" s="1"/>
    </row>
    <row r="4055" spans="9:19" x14ac:dyDescent="0.3">
      <c r="I4055" s="1"/>
      <c r="S4055" s="1"/>
    </row>
    <row r="4056" spans="9:19" x14ac:dyDescent="0.3">
      <c r="I4056" s="1"/>
      <c r="S4056" s="1"/>
    </row>
    <row r="4057" spans="9:19" x14ac:dyDescent="0.3">
      <c r="I4057" s="1"/>
      <c r="S4057" s="1"/>
    </row>
    <row r="4058" spans="9:19" x14ac:dyDescent="0.3">
      <c r="I4058" s="1"/>
      <c r="S4058" s="1"/>
    </row>
    <row r="4059" spans="9:19" x14ac:dyDescent="0.3">
      <c r="I4059" s="1"/>
      <c r="S4059" s="1"/>
    </row>
    <row r="4060" spans="9:19" x14ac:dyDescent="0.3">
      <c r="I4060" s="1"/>
      <c r="S4060" s="1"/>
    </row>
    <row r="4061" spans="9:19" x14ac:dyDescent="0.3">
      <c r="I4061" s="1"/>
      <c r="S4061" s="1"/>
    </row>
    <row r="4062" spans="9:19" x14ac:dyDescent="0.3">
      <c r="I4062" s="1"/>
      <c r="S4062" s="1"/>
    </row>
    <row r="4063" spans="9:19" x14ac:dyDescent="0.3">
      <c r="I4063" s="1"/>
      <c r="S4063" s="1"/>
    </row>
    <row r="4064" spans="9:19" x14ac:dyDescent="0.3">
      <c r="I4064" s="1"/>
      <c r="S4064" s="1"/>
    </row>
    <row r="4065" spans="9:19" x14ac:dyDescent="0.3">
      <c r="I4065" s="1"/>
      <c r="S4065" s="1"/>
    </row>
    <row r="4066" spans="9:19" x14ac:dyDescent="0.3">
      <c r="I4066" s="1"/>
      <c r="S4066" s="1"/>
    </row>
    <row r="4067" spans="9:19" x14ac:dyDescent="0.3">
      <c r="I4067" s="1"/>
      <c r="S4067" s="1"/>
    </row>
    <row r="4068" spans="9:19" x14ac:dyDescent="0.3">
      <c r="I4068" s="1"/>
      <c r="S4068" s="1"/>
    </row>
    <row r="4069" spans="9:19" x14ac:dyDescent="0.3">
      <c r="I4069" s="1"/>
      <c r="S4069" s="1"/>
    </row>
    <row r="4070" spans="9:19" x14ac:dyDescent="0.3">
      <c r="I4070" s="1"/>
      <c r="S4070" s="1"/>
    </row>
    <row r="4071" spans="9:19" x14ac:dyDescent="0.3">
      <c r="I4071" s="1"/>
      <c r="S4071" s="1"/>
    </row>
    <row r="4072" spans="9:19" x14ac:dyDescent="0.3">
      <c r="I4072" s="1"/>
      <c r="S4072" s="1"/>
    </row>
    <row r="4073" spans="9:19" x14ac:dyDescent="0.3">
      <c r="I4073" s="1"/>
      <c r="S4073" s="1"/>
    </row>
    <row r="4074" spans="9:19" x14ac:dyDescent="0.3">
      <c r="I4074" s="1"/>
      <c r="S4074" s="1"/>
    </row>
    <row r="4075" spans="9:19" x14ac:dyDescent="0.3">
      <c r="I4075" s="1"/>
      <c r="S4075" s="1"/>
    </row>
    <row r="4076" spans="9:19" x14ac:dyDescent="0.3">
      <c r="I4076" s="1"/>
      <c r="S4076" s="1"/>
    </row>
    <row r="4077" spans="9:19" x14ac:dyDescent="0.3">
      <c r="I4077" s="1"/>
      <c r="S4077" s="1"/>
    </row>
    <row r="4078" spans="9:19" x14ac:dyDescent="0.3">
      <c r="I4078" s="1"/>
      <c r="S4078" s="1"/>
    </row>
    <row r="4079" spans="9:19" x14ac:dyDescent="0.3">
      <c r="I4079" s="1"/>
      <c r="S4079" s="1"/>
    </row>
    <row r="4080" spans="9:19" x14ac:dyDescent="0.3">
      <c r="I4080" s="1"/>
      <c r="S4080" s="1"/>
    </row>
    <row r="4081" spans="9:19" x14ac:dyDescent="0.3">
      <c r="I4081" s="1"/>
      <c r="S4081" s="1"/>
    </row>
    <row r="4082" spans="9:19" x14ac:dyDescent="0.3">
      <c r="I4082" s="1"/>
      <c r="S4082" s="1"/>
    </row>
    <row r="4083" spans="9:19" x14ac:dyDescent="0.3">
      <c r="I4083" s="1"/>
      <c r="S4083" s="1"/>
    </row>
    <row r="4084" spans="9:19" x14ac:dyDescent="0.3">
      <c r="I4084" s="1"/>
      <c r="S4084" s="1"/>
    </row>
    <row r="4085" spans="9:19" x14ac:dyDescent="0.3">
      <c r="I4085" s="1"/>
      <c r="S4085" s="1"/>
    </row>
    <row r="4086" spans="9:19" x14ac:dyDescent="0.3">
      <c r="I4086" s="1"/>
      <c r="S4086" s="1"/>
    </row>
    <row r="4087" spans="9:19" x14ac:dyDescent="0.3">
      <c r="I4087" s="1"/>
      <c r="S4087" s="1"/>
    </row>
    <row r="4088" spans="9:19" x14ac:dyDescent="0.3">
      <c r="I4088" s="1"/>
      <c r="S4088" s="1"/>
    </row>
    <row r="4089" spans="9:19" x14ac:dyDescent="0.3">
      <c r="I4089" s="1"/>
      <c r="S4089" s="1"/>
    </row>
    <row r="4090" spans="9:19" x14ac:dyDescent="0.3">
      <c r="I4090" s="1"/>
      <c r="S4090" s="1"/>
    </row>
    <row r="4091" spans="9:19" x14ac:dyDescent="0.3">
      <c r="I4091" s="1"/>
      <c r="S4091" s="1"/>
    </row>
    <row r="4092" spans="9:19" x14ac:dyDescent="0.3">
      <c r="I4092" s="1"/>
      <c r="S4092" s="1"/>
    </row>
    <row r="4093" spans="9:19" x14ac:dyDescent="0.3">
      <c r="I4093" s="1"/>
      <c r="S4093" s="1"/>
    </row>
    <row r="4094" spans="9:19" x14ac:dyDescent="0.3">
      <c r="I4094" s="1"/>
      <c r="S4094" s="1"/>
    </row>
    <row r="4095" spans="9:19" x14ac:dyDescent="0.3">
      <c r="I4095" s="1"/>
      <c r="S4095" s="1"/>
    </row>
    <row r="4096" spans="9:19" x14ac:dyDescent="0.3">
      <c r="I4096" s="1"/>
      <c r="S4096" s="1"/>
    </row>
    <row r="4097" spans="9:19" x14ac:dyDescent="0.3">
      <c r="I4097" s="1"/>
      <c r="S4097" s="1"/>
    </row>
    <row r="4098" spans="9:19" x14ac:dyDescent="0.3">
      <c r="I4098" s="1"/>
      <c r="S4098" s="1"/>
    </row>
    <row r="4099" spans="9:19" x14ac:dyDescent="0.3">
      <c r="I4099" s="1"/>
      <c r="S4099" s="1"/>
    </row>
    <row r="4100" spans="9:19" x14ac:dyDescent="0.3">
      <c r="I4100" s="1"/>
      <c r="S4100" s="1"/>
    </row>
    <row r="4101" spans="9:19" x14ac:dyDescent="0.3">
      <c r="I4101" s="1"/>
      <c r="S4101" s="1"/>
    </row>
    <row r="4102" spans="9:19" x14ac:dyDescent="0.3">
      <c r="I4102" s="1"/>
      <c r="S4102" s="1"/>
    </row>
    <row r="4103" spans="9:19" x14ac:dyDescent="0.3">
      <c r="I4103" s="1"/>
      <c r="S4103" s="1"/>
    </row>
    <row r="4104" spans="9:19" x14ac:dyDescent="0.3">
      <c r="I4104" s="1"/>
      <c r="S4104" s="1"/>
    </row>
    <row r="4105" spans="9:19" x14ac:dyDescent="0.3">
      <c r="I4105" s="1"/>
      <c r="S4105" s="1"/>
    </row>
    <row r="4106" spans="9:19" x14ac:dyDescent="0.3">
      <c r="I4106" s="1"/>
      <c r="S4106" s="1"/>
    </row>
    <row r="4107" spans="9:19" x14ac:dyDescent="0.3">
      <c r="I4107" s="1"/>
      <c r="S4107" s="1"/>
    </row>
    <row r="4108" spans="9:19" x14ac:dyDescent="0.3">
      <c r="I4108" s="1"/>
      <c r="S4108" s="1"/>
    </row>
    <row r="4109" spans="9:19" x14ac:dyDescent="0.3">
      <c r="I4109" s="1"/>
      <c r="S4109" s="1"/>
    </row>
    <row r="4110" spans="9:19" x14ac:dyDescent="0.3">
      <c r="I4110" s="1"/>
      <c r="S4110" s="1"/>
    </row>
    <row r="4111" spans="9:19" x14ac:dyDescent="0.3">
      <c r="I4111" s="1"/>
      <c r="S4111" s="1"/>
    </row>
    <row r="4112" spans="9:19" x14ac:dyDescent="0.3">
      <c r="I4112" s="1"/>
      <c r="S4112" s="1"/>
    </row>
    <row r="4113" spans="9:19" x14ac:dyDescent="0.3">
      <c r="I4113" s="1"/>
      <c r="S4113" s="1"/>
    </row>
    <row r="4114" spans="9:19" x14ac:dyDescent="0.3">
      <c r="I4114" s="1"/>
      <c r="S4114" s="1"/>
    </row>
    <row r="4115" spans="9:19" x14ac:dyDescent="0.3">
      <c r="I4115" s="1"/>
      <c r="S4115" s="1"/>
    </row>
    <row r="4116" spans="9:19" x14ac:dyDescent="0.3">
      <c r="I4116" s="1"/>
      <c r="S4116" s="1"/>
    </row>
    <row r="4117" spans="9:19" x14ac:dyDescent="0.3">
      <c r="I4117" s="1"/>
      <c r="S4117" s="1"/>
    </row>
    <row r="4118" spans="9:19" x14ac:dyDescent="0.3">
      <c r="I4118" s="1"/>
      <c r="S4118" s="1"/>
    </row>
    <row r="4119" spans="9:19" x14ac:dyDescent="0.3">
      <c r="I4119" s="1"/>
      <c r="S4119" s="1"/>
    </row>
    <row r="4120" spans="9:19" x14ac:dyDescent="0.3">
      <c r="I4120" s="1"/>
      <c r="S4120" s="1"/>
    </row>
    <row r="4121" spans="9:19" x14ac:dyDescent="0.3">
      <c r="I4121" s="1"/>
      <c r="S4121" s="1"/>
    </row>
    <row r="4122" spans="9:19" x14ac:dyDescent="0.3">
      <c r="I4122" s="1"/>
      <c r="S4122" s="1"/>
    </row>
    <row r="4123" spans="9:19" x14ac:dyDescent="0.3">
      <c r="I4123" s="1"/>
      <c r="S4123" s="1"/>
    </row>
    <row r="4124" spans="9:19" x14ac:dyDescent="0.3">
      <c r="I4124" s="1"/>
      <c r="S4124" s="1"/>
    </row>
    <row r="4125" spans="9:19" x14ac:dyDescent="0.3">
      <c r="I4125" s="1"/>
      <c r="S4125" s="1"/>
    </row>
    <row r="4126" spans="9:19" x14ac:dyDescent="0.3">
      <c r="I4126" s="1"/>
      <c r="S4126" s="1"/>
    </row>
    <row r="4127" spans="9:19" x14ac:dyDescent="0.3">
      <c r="I4127" s="1"/>
      <c r="S4127" s="1"/>
    </row>
    <row r="4128" spans="9:19" x14ac:dyDescent="0.3">
      <c r="I4128" s="1"/>
      <c r="S4128" s="1"/>
    </row>
    <row r="4129" spans="9:19" x14ac:dyDescent="0.3">
      <c r="I4129" s="1"/>
      <c r="S4129" s="1"/>
    </row>
    <row r="4130" spans="9:19" x14ac:dyDescent="0.3">
      <c r="I4130" s="1"/>
      <c r="S4130" s="1"/>
    </row>
    <row r="4131" spans="9:19" x14ac:dyDescent="0.3">
      <c r="I4131" s="1"/>
      <c r="S4131" s="1"/>
    </row>
    <row r="4132" spans="9:19" x14ac:dyDescent="0.3">
      <c r="I4132" s="1"/>
      <c r="S4132" s="1"/>
    </row>
    <row r="4133" spans="9:19" x14ac:dyDescent="0.3">
      <c r="I4133" s="1"/>
      <c r="S4133" s="1"/>
    </row>
    <row r="4134" spans="9:19" x14ac:dyDescent="0.3">
      <c r="I4134" s="1"/>
      <c r="S4134" s="1"/>
    </row>
    <row r="4135" spans="9:19" x14ac:dyDescent="0.3">
      <c r="I4135" s="1"/>
      <c r="S4135" s="1"/>
    </row>
    <row r="4136" spans="9:19" x14ac:dyDescent="0.3">
      <c r="I4136" s="1"/>
      <c r="S4136" s="1"/>
    </row>
    <row r="4137" spans="9:19" x14ac:dyDescent="0.3">
      <c r="I4137" s="1"/>
      <c r="S4137" s="1"/>
    </row>
    <row r="4138" spans="9:19" x14ac:dyDescent="0.3">
      <c r="I4138" s="1"/>
      <c r="S4138" s="1"/>
    </row>
    <row r="4139" spans="9:19" x14ac:dyDescent="0.3">
      <c r="I4139" s="1"/>
      <c r="S4139" s="1"/>
    </row>
    <row r="4140" spans="9:19" x14ac:dyDescent="0.3">
      <c r="I4140" s="1"/>
      <c r="S4140" s="1"/>
    </row>
    <row r="4141" spans="9:19" x14ac:dyDescent="0.3">
      <c r="I4141" s="1"/>
      <c r="S4141" s="1"/>
    </row>
    <row r="4142" spans="9:19" x14ac:dyDescent="0.3">
      <c r="I4142" s="1"/>
      <c r="S4142" s="1"/>
    </row>
    <row r="4143" spans="9:19" x14ac:dyDescent="0.3">
      <c r="I4143" s="1"/>
      <c r="S4143" s="1"/>
    </row>
    <row r="4144" spans="9:19" x14ac:dyDescent="0.3">
      <c r="I4144" s="1"/>
      <c r="S4144" s="1"/>
    </row>
    <row r="4145" spans="9:19" x14ac:dyDescent="0.3">
      <c r="I4145" s="1"/>
      <c r="S4145" s="1"/>
    </row>
    <row r="4146" spans="9:19" x14ac:dyDescent="0.3">
      <c r="I4146" s="1"/>
      <c r="S4146" s="1"/>
    </row>
    <row r="4147" spans="9:19" x14ac:dyDescent="0.3">
      <c r="I4147" s="1"/>
      <c r="S4147" s="1"/>
    </row>
    <row r="4148" spans="9:19" x14ac:dyDescent="0.3">
      <c r="I4148" s="1"/>
      <c r="S4148" s="1"/>
    </row>
    <row r="4149" spans="9:19" x14ac:dyDescent="0.3">
      <c r="I4149" s="1"/>
      <c r="S4149" s="1"/>
    </row>
    <row r="4150" spans="9:19" x14ac:dyDescent="0.3">
      <c r="I4150" s="1"/>
      <c r="S4150" s="1"/>
    </row>
    <row r="4151" spans="9:19" x14ac:dyDescent="0.3">
      <c r="I4151" s="1"/>
      <c r="S4151" s="1"/>
    </row>
    <row r="4152" spans="9:19" x14ac:dyDescent="0.3">
      <c r="I4152" s="1"/>
      <c r="S4152" s="1"/>
    </row>
    <row r="4153" spans="9:19" x14ac:dyDescent="0.3">
      <c r="I4153" s="1"/>
      <c r="S4153" s="1"/>
    </row>
    <row r="4154" spans="9:19" x14ac:dyDescent="0.3">
      <c r="I4154" s="1"/>
      <c r="S4154" s="1"/>
    </row>
    <row r="4155" spans="9:19" x14ac:dyDescent="0.3">
      <c r="I4155" s="1"/>
      <c r="S4155" s="1"/>
    </row>
    <row r="4156" spans="9:19" x14ac:dyDescent="0.3">
      <c r="I4156" s="1"/>
      <c r="S4156" s="1"/>
    </row>
    <row r="4157" spans="9:19" x14ac:dyDescent="0.3">
      <c r="I4157" s="1"/>
      <c r="S4157" s="1"/>
    </row>
    <row r="4158" spans="9:19" x14ac:dyDescent="0.3">
      <c r="I4158" s="1"/>
      <c r="S4158" s="1"/>
    </row>
    <row r="4159" spans="9:19" x14ac:dyDescent="0.3">
      <c r="I4159" s="1"/>
      <c r="S4159" s="1"/>
    </row>
    <row r="4160" spans="9:19" x14ac:dyDescent="0.3">
      <c r="I4160" s="1"/>
      <c r="S4160" s="1"/>
    </row>
    <row r="4161" spans="9:19" x14ac:dyDescent="0.3">
      <c r="I4161" s="1"/>
      <c r="S4161" s="1"/>
    </row>
    <row r="4162" spans="9:19" x14ac:dyDescent="0.3">
      <c r="I4162" s="1"/>
      <c r="S4162" s="1"/>
    </row>
    <row r="4163" spans="9:19" x14ac:dyDescent="0.3">
      <c r="I4163" s="1"/>
      <c r="S4163" s="1"/>
    </row>
    <row r="4164" spans="9:19" x14ac:dyDescent="0.3">
      <c r="I4164" s="1"/>
      <c r="S4164" s="1"/>
    </row>
    <row r="4165" spans="9:19" x14ac:dyDescent="0.3">
      <c r="I4165" s="1"/>
      <c r="S4165" s="1"/>
    </row>
    <row r="4166" spans="9:19" x14ac:dyDescent="0.3">
      <c r="I4166" s="1"/>
      <c r="S4166" s="1"/>
    </row>
    <row r="4167" spans="9:19" x14ac:dyDescent="0.3">
      <c r="I4167" s="1"/>
      <c r="S4167" s="1"/>
    </row>
    <row r="4168" spans="9:19" x14ac:dyDescent="0.3">
      <c r="I4168" s="1"/>
      <c r="S4168" s="1"/>
    </row>
    <row r="4169" spans="9:19" x14ac:dyDescent="0.3">
      <c r="I4169" s="1"/>
      <c r="S4169" s="1"/>
    </row>
    <row r="4170" spans="9:19" x14ac:dyDescent="0.3">
      <c r="I4170" s="1"/>
      <c r="S4170" s="1"/>
    </row>
    <row r="4171" spans="9:19" x14ac:dyDescent="0.3">
      <c r="I4171" s="1"/>
      <c r="S4171" s="1"/>
    </row>
    <row r="4172" spans="9:19" x14ac:dyDescent="0.3">
      <c r="I4172" s="1"/>
      <c r="S4172" s="1"/>
    </row>
    <row r="4173" spans="9:19" x14ac:dyDescent="0.3">
      <c r="I4173" s="1"/>
      <c r="S4173" s="1"/>
    </row>
    <row r="4174" spans="9:19" x14ac:dyDescent="0.3">
      <c r="I4174" s="1"/>
      <c r="S4174" s="1"/>
    </row>
    <row r="4175" spans="9:19" x14ac:dyDescent="0.3">
      <c r="I4175" s="1"/>
      <c r="S4175" s="1"/>
    </row>
    <row r="4176" spans="9:19" x14ac:dyDescent="0.3">
      <c r="I4176" s="1"/>
      <c r="S4176" s="1"/>
    </row>
    <row r="4177" spans="9:19" x14ac:dyDescent="0.3">
      <c r="I4177" s="1"/>
      <c r="S4177" s="1"/>
    </row>
    <row r="4178" spans="9:19" x14ac:dyDescent="0.3">
      <c r="I4178" s="1"/>
      <c r="S4178" s="1"/>
    </row>
    <row r="4179" spans="9:19" x14ac:dyDescent="0.3">
      <c r="I4179" s="1"/>
      <c r="S4179" s="1"/>
    </row>
    <row r="4180" spans="9:19" x14ac:dyDescent="0.3">
      <c r="I4180" s="1"/>
      <c r="S4180" s="1"/>
    </row>
    <row r="4181" spans="9:19" x14ac:dyDescent="0.3">
      <c r="I4181" s="1"/>
      <c r="S4181" s="1"/>
    </row>
    <row r="4182" spans="9:19" x14ac:dyDescent="0.3">
      <c r="I4182" s="1"/>
      <c r="S4182" s="1"/>
    </row>
    <row r="4183" spans="9:19" x14ac:dyDescent="0.3">
      <c r="I4183" s="1"/>
      <c r="S4183" s="1"/>
    </row>
    <row r="4184" spans="9:19" x14ac:dyDescent="0.3">
      <c r="I4184" s="1"/>
      <c r="S4184" s="1"/>
    </row>
    <row r="4185" spans="9:19" x14ac:dyDescent="0.3">
      <c r="I4185" s="1"/>
      <c r="S4185" s="1"/>
    </row>
    <row r="4186" spans="9:19" x14ac:dyDescent="0.3">
      <c r="I4186" s="1"/>
      <c r="S4186" s="1"/>
    </row>
    <row r="4187" spans="9:19" x14ac:dyDescent="0.3">
      <c r="I4187" s="1"/>
      <c r="S4187" s="1"/>
    </row>
    <row r="4188" spans="9:19" x14ac:dyDescent="0.3">
      <c r="I4188" s="1"/>
      <c r="S4188" s="1"/>
    </row>
    <row r="4189" spans="9:19" x14ac:dyDescent="0.3">
      <c r="I4189" s="1"/>
      <c r="S4189" s="1"/>
    </row>
    <row r="4190" spans="9:19" x14ac:dyDescent="0.3">
      <c r="I4190" s="1"/>
      <c r="S4190" s="1"/>
    </row>
    <row r="4191" spans="9:19" x14ac:dyDescent="0.3">
      <c r="I4191" s="1"/>
      <c r="S4191" s="1"/>
    </row>
    <row r="4192" spans="9:19" x14ac:dyDescent="0.3">
      <c r="I4192" s="1"/>
      <c r="S4192" s="1"/>
    </row>
    <row r="4193" spans="9:19" x14ac:dyDescent="0.3">
      <c r="I4193" s="1"/>
      <c r="S4193" s="1"/>
    </row>
    <row r="4194" spans="9:19" x14ac:dyDescent="0.3">
      <c r="I4194" s="1"/>
      <c r="S4194" s="1"/>
    </row>
    <row r="4195" spans="9:19" x14ac:dyDescent="0.3">
      <c r="I4195" s="1"/>
      <c r="S4195" s="1"/>
    </row>
    <row r="4196" spans="9:19" x14ac:dyDescent="0.3">
      <c r="I4196" s="1"/>
      <c r="S4196" s="1"/>
    </row>
    <row r="4197" spans="9:19" x14ac:dyDescent="0.3">
      <c r="I4197" s="1"/>
      <c r="S4197" s="1"/>
    </row>
    <row r="4198" spans="9:19" x14ac:dyDescent="0.3">
      <c r="I4198" s="1"/>
      <c r="S4198" s="1"/>
    </row>
    <row r="4199" spans="9:19" x14ac:dyDescent="0.3">
      <c r="I4199" s="1"/>
      <c r="S4199" s="1"/>
    </row>
    <row r="4200" spans="9:19" x14ac:dyDescent="0.3">
      <c r="I4200" s="1"/>
      <c r="S4200" s="1"/>
    </row>
    <row r="4201" spans="9:19" x14ac:dyDescent="0.3">
      <c r="I4201" s="1"/>
      <c r="S4201" s="1"/>
    </row>
    <row r="4202" spans="9:19" x14ac:dyDescent="0.3">
      <c r="I4202" s="1"/>
      <c r="S4202" s="1"/>
    </row>
    <row r="4203" spans="9:19" x14ac:dyDescent="0.3">
      <c r="I4203" s="1"/>
      <c r="S4203" s="1"/>
    </row>
    <row r="4204" spans="9:19" x14ac:dyDescent="0.3">
      <c r="I4204" s="1"/>
      <c r="S4204" s="1"/>
    </row>
    <row r="4205" spans="9:19" x14ac:dyDescent="0.3">
      <c r="I4205" s="1"/>
      <c r="S4205" s="1"/>
    </row>
    <row r="4206" spans="9:19" x14ac:dyDescent="0.3">
      <c r="I4206" s="1"/>
      <c r="S4206" s="1"/>
    </row>
    <row r="4207" spans="9:19" x14ac:dyDescent="0.3">
      <c r="I4207" s="1"/>
      <c r="S4207" s="1"/>
    </row>
    <row r="4208" spans="9:19" x14ac:dyDescent="0.3">
      <c r="I4208" s="1"/>
      <c r="S4208" s="1"/>
    </row>
    <row r="4209" spans="9:19" x14ac:dyDescent="0.3">
      <c r="I4209" s="1"/>
      <c r="S4209" s="1"/>
    </row>
    <row r="4210" spans="9:19" x14ac:dyDescent="0.3">
      <c r="I4210" s="1"/>
      <c r="S4210" s="1"/>
    </row>
    <row r="4211" spans="9:19" x14ac:dyDescent="0.3">
      <c r="I4211" s="1"/>
      <c r="S4211" s="1"/>
    </row>
    <row r="4212" spans="9:19" x14ac:dyDescent="0.3">
      <c r="I4212" s="1"/>
      <c r="S4212" s="1"/>
    </row>
    <row r="4213" spans="9:19" x14ac:dyDescent="0.3">
      <c r="I4213" s="1"/>
      <c r="S4213" s="1"/>
    </row>
    <row r="4214" spans="9:19" x14ac:dyDescent="0.3">
      <c r="I4214" s="1"/>
      <c r="S4214" s="1"/>
    </row>
    <row r="4215" spans="9:19" x14ac:dyDescent="0.3">
      <c r="I4215" s="1"/>
      <c r="S4215" s="1"/>
    </row>
    <row r="4216" spans="9:19" x14ac:dyDescent="0.3">
      <c r="I4216" s="1"/>
      <c r="S4216" s="1"/>
    </row>
    <row r="4217" spans="9:19" x14ac:dyDescent="0.3">
      <c r="I4217" s="1"/>
      <c r="S4217" s="1"/>
    </row>
    <row r="4218" spans="9:19" x14ac:dyDescent="0.3">
      <c r="I4218" s="1"/>
      <c r="S4218" s="1"/>
    </row>
    <row r="4219" spans="9:19" x14ac:dyDescent="0.3">
      <c r="I4219" s="1"/>
      <c r="S4219" s="1"/>
    </row>
    <row r="4220" spans="9:19" x14ac:dyDescent="0.3">
      <c r="I4220" s="1"/>
      <c r="S4220" s="1"/>
    </row>
    <row r="4221" spans="9:19" x14ac:dyDescent="0.3">
      <c r="I4221" s="1"/>
      <c r="S4221" s="1"/>
    </row>
    <row r="4222" spans="9:19" x14ac:dyDescent="0.3">
      <c r="I4222" s="1"/>
      <c r="S4222" s="1"/>
    </row>
    <row r="4223" spans="9:19" x14ac:dyDescent="0.3">
      <c r="I4223" s="1"/>
      <c r="S4223" s="1"/>
    </row>
    <row r="4224" spans="9:19" x14ac:dyDescent="0.3">
      <c r="I4224" s="1"/>
      <c r="S4224" s="1"/>
    </row>
    <row r="4225" spans="9:19" x14ac:dyDescent="0.3">
      <c r="I4225" s="1"/>
      <c r="S4225" s="1"/>
    </row>
    <row r="4226" spans="9:19" x14ac:dyDescent="0.3">
      <c r="I4226" s="1"/>
      <c r="S4226" s="1"/>
    </row>
    <row r="4227" spans="9:19" x14ac:dyDescent="0.3">
      <c r="I4227" s="1"/>
      <c r="S4227" s="1"/>
    </row>
    <row r="4228" spans="9:19" x14ac:dyDescent="0.3">
      <c r="I4228" s="1"/>
      <c r="S4228" s="1"/>
    </row>
    <row r="4229" spans="9:19" x14ac:dyDescent="0.3">
      <c r="I4229" s="1"/>
      <c r="S4229" s="1"/>
    </row>
    <row r="4230" spans="9:19" x14ac:dyDescent="0.3">
      <c r="I4230" s="1"/>
      <c r="S4230" s="1"/>
    </row>
    <row r="4231" spans="9:19" x14ac:dyDescent="0.3">
      <c r="I4231" s="1"/>
      <c r="S4231" s="1"/>
    </row>
    <row r="4232" spans="9:19" x14ac:dyDescent="0.3">
      <c r="I4232" s="1"/>
      <c r="S4232" s="1"/>
    </row>
    <row r="4233" spans="9:19" x14ac:dyDescent="0.3">
      <c r="I4233" s="1"/>
      <c r="S4233" s="1"/>
    </row>
    <row r="4234" spans="9:19" x14ac:dyDescent="0.3">
      <c r="I4234" s="1"/>
      <c r="S4234" s="1"/>
    </row>
    <row r="4235" spans="9:19" x14ac:dyDescent="0.3">
      <c r="I4235" s="1"/>
      <c r="S4235" s="1"/>
    </row>
    <row r="4236" spans="9:19" x14ac:dyDescent="0.3">
      <c r="I4236" s="1"/>
      <c r="S4236" s="1"/>
    </row>
    <row r="4237" spans="9:19" x14ac:dyDescent="0.3">
      <c r="I4237" s="1"/>
      <c r="S4237" s="1"/>
    </row>
    <row r="4238" spans="9:19" x14ac:dyDescent="0.3">
      <c r="I4238" s="1"/>
      <c r="S4238" s="1"/>
    </row>
    <row r="4239" spans="9:19" x14ac:dyDescent="0.3">
      <c r="I4239" s="1"/>
      <c r="S4239" s="1"/>
    </row>
    <row r="4240" spans="9:19" x14ac:dyDescent="0.3">
      <c r="I4240" s="1"/>
      <c r="S4240" s="1"/>
    </row>
    <row r="4241" spans="9:19" x14ac:dyDescent="0.3">
      <c r="I4241" s="1"/>
      <c r="S4241" s="1"/>
    </row>
    <row r="4242" spans="9:19" x14ac:dyDescent="0.3">
      <c r="I4242" s="1"/>
      <c r="S4242" s="1"/>
    </row>
    <row r="4243" spans="9:19" x14ac:dyDescent="0.3">
      <c r="I4243" s="1"/>
      <c r="S4243" s="1"/>
    </row>
    <row r="4244" spans="9:19" x14ac:dyDescent="0.3">
      <c r="I4244" s="1"/>
      <c r="S4244" s="1"/>
    </row>
    <row r="4245" spans="9:19" x14ac:dyDescent="0.3">
      <c r="I4245" s="1"/>
      <c r="S4245" s="1"/>
    </row>
    <row r="4246" spans="9:19" x14ac:dyDescent="0.3">
      <c r="I4246" s="1"/>
      <c r="S4246" s="1"/>
    </row>
    <row r="4247" spans="9:19" x14ac:dyDescent="0.3">
      <c r="I4247" s="1"/>
      <c r="S4247" s="1"/>
    </row>
    <row r="4248" spans="9:19" x14ac:dyDescent="0.3">
      <c r="I4248" s="1"/>
      <c r="S4248" s="1"/>
    </row>
    <row r="4249" spans="9:19" x14ac:dyDescent="0.3">
      <c r="I4249" s="1"/>
      <c r="S4249" s="1"/>
    </row>
    <row r="4250" spans="9:19" x14ac:dyDescent="0.3">
      <c r="I4250" s="1"/>
      <c r="S4250" s="1"/>
    </row>
    <row r="4251" spans="9:19" x14ac:dyDescent="0.3">
      <c r="I4251" s="1"/>
      <c r="S4251" s="1"/>
    </row>
    <row r="4252" spans="9:19" x14ac:dyDescent="0.3">
      <c r="I4252" s="1"/>
      <c r="S4252" s="1"/>
    </row>
    <row r="4253" spans="9:19" x14ac:dyDescent="0.3">
      <c r="I4253" s="1"/>
      <c r="S4253" s="1"/>
    </row>
    <row r="4254" spans="9:19" x14ac:dyDescent="0.3">
      <c r="I4254" s="1"/>
      <c r="S4254" s="1"/>
    </row>
    <row r="4255" spans="9:19" x14ac:dyDescent="0.3">
      <c r="I4255" s="1"/>
      <c r="S4255" s="1"/>
    </row>
    <row r="4256" spans="9:19" x14ac:dyDescent="0.3">
      <c r="I4256" s="1"/>
      <c r="S4256" s="1"/>
    </row>
    <row r="4257" spans="9:19" x14ac:dyDescent="0.3">
      <c r="I4257" s="1"/>
      <c r="S4257" s="1"/>
    </row>
    <row r="4258" spans="9:19" x14ac:dyDescent="0.3">
      <c r="I4258" s="1"/>
      <c r="S4258" s="1"/>
    </row>
    <row r="4259" spans="9:19" x14ac:dyDescent="0.3">
      <c r="I4259" s="1"/>
      <c r="S4259" s="1"/>
    </row>
    <row r="4260" spans="9:19" x14ac:dyDescent="0.3">
      <c r="I4260" s="1"/>
      <c r="S4260" s="1"/>
    </row>
    <row r="4261" spans="9:19" x14ac:dyDescent="0.3">
      <c r="I4261" s="1"/>
      <c r="S4261" s="1"/>
    </row>
    <row r="4262" spans="9:19" x14ac:dyDescent="0.3">
      <c r="I4262" s="1"/>
      <c r="S4262" s="1"/>
    </row>
    <row r="4263" spans="9:19" x14ac:dyDescent="0.3">
      <c r="I4263" s="1"/>
      <c r="S4263" s="1"/>
    </row>
    <row r="4264" spans="9:19" x14ac:dyDescent="0.3">
      <c r="I4264" s="1"/>
      <c r="S4264" s="1"/>
    </row>
    <row r="4265" spans="9:19" x14ac:dyDescent="0.3">
      <c r="I4265" s="1"/>
      <c r="S4265" s="1"/>
    </row>
    <row r="4266" spans="9:19" x14ac:dyDescent="0.3">
      <c r="I4266" s="1"/>
      <c r="S4266" s="1"/>
    </row>
    <row r="4267" spans="9:19" x14ac:dyDescent="0.3">
      <c r="I4267" s="1"/>
      <c r="S4267" s="1"/>
    </row>
    <row r="4268" spans="9:19" x14ac:dyDescent="0.3">
      <c r="I4268" s="1"/>
      <c r="S4268" s="1"/>
    </row>
    <row r="4269" spans="9:19" x14ac:dyDescent="0.3">
      <c r="I4269" s="1"/>
      <c r="S4269" s="1"/>
    </row>
    <row r="4270" spans="9:19" x14ac:dyDescent="0.3">
      <c r="I4270" s="1"/>
      <c r="S4270" s="1"/>
    </row>
    <row r="4271" spans="9:19" x14ac:dyDescent="0.3">
      <c r="I4271" s="1"/>
      <c r="S4271" s="1"/>
    </row>
    <row r="4272" spans="9:19" x14ac:dyDescent="0.3">
      <c r="I4272" s="1"/>
      <c r="S4272" s="1"/>
    </row>
    <row r="4273" spans="9:19" x14ac:dyDescent="0.3">
      <c r="I4273" s="1"/>
      <c r="S4273" s="1"/>
    </row>
    <row r="4274" spans="9:19" x14ac:dyDescent="0.3">
      <c r="I4274" s="1"/>
      <c r="S4274" s="1"/>
    </row>
    <row r="4275" spans="9:19" x14ac:dyDescent="0.3">
      <c r="I4275" s="1"/>
      <c r="S4275" s="1"/>
    </row>
    <row r="4276" spans="9:19" x14ac:dyDescent="0.3">
      <c r="I4276" s="1"/>
      <c r="S4276" s="1"/>
    </row>
    <row r="4277" spans="9:19" x14ac:dyDescent="0.3">
      <c r="I4277" s="1"/>
      <c r="S4277" s="1"/>
    </row>
    <row r="4278" spans="9:19" x14ac:dyDescent="0.3">
      <c r="I4278" s="1"/>
      <c r="S4278" s="1"/>
    </row>
    <row r="4279" spans="9:19" x14ac:dyDescent="0.3">
      <c r="I4279" s="1"/>
      <c r="S4279" s="1"/>
    </row>
    <row r="4280" spans="9:19" x14ac:dyDescent="0.3">
      <c r="I4280" s="1"/>
      <c r="S4280" s="1"/>
    </row>
    <row r="4281" spans="9:19" x14ac:dyDescent="0.3">
      <c r="I4281" s="1"/>
      <c r="S4281" s="1"/>
    </row>
    <row r="4282" spans="9:19" x14ac:dyDescent="0.3">
      <c r="I4282" s="1"/>
      <c r="S4282" s="1"/>
    </row>
    <row r="4283" spans="9:19" x14ac:dyDescent="0.3">
      <c r="I4283" s="1"/>
      <c r="S4283" s="1"/>
    </row>
    <row r="4284" spans="9:19" x14ac:dyDescent="0.3">
      <c r="I4284" s="1"/>
      <c r="S4284" s="1"/>
    </row>
    <row r="4285" spans="9:19" x14ac:dyDescent="0.3">
      <c r="I4285" s="1"/>
      <c r="S4285" s="1"/>
    </row>
    <row r="4286" spans="9:19" x14ac:dyDescent="0.3">
      <c r="I4286" s="1"/>
      <c r="S4286" s="1"/>
    </row>
    <row r="4287" spans="9:19" x14ac:dyDescent="0.3">
      <c r="I4287" s="1"/>
      <c r="S4287" s="1"/>
    </row>
    <row r="4288" spans="9:19" x14ac:dyDescent="0.3">
      <c r="I4288" s="1"/>
      <c r="S4288" s="1"/>
    </row>
    <row r="4289" spans="9:19" x14ac:dyDescent="0.3">
      <c r="I4289" s="1"/>
      <c r="S4289" s="1"/>
    </row>
    <row r="4290" spans="9:19" x14ac:dyDescent="0.3">
      <c r="I4290" s="1"/>
      <c r="S4290" s="1"/>
    </row>
    <row r="4291" spans="9:19" x14ac:dyDescent="0.3">
      <c r="I4291" s="1"/>
      <c r="S4291" s="1"/>
    </row>
    <row r="4292" spans="9:19" x14ac:dyDescent="0.3">
      <c r="I4292" s="1"/>
      <c r="S4292" s="1"/>
    </row>
    <row r="4293" spans="9:19" x14ac:dyDescent="0.3">
      <c r="I4293" s="1"/>
      <c r="S4293" s="1"/>
    </row>
    <row r="4294" spans="9:19" x14ac:dyDescent="0.3">
      <c r="I4294" s="1"/>
      <c r="S4294" s="1"/>
    </row>
    <row r="4295" spans="9:19" x14ac:dyDescent="0.3">
      <c r="I4295" s="1"/>
      <c r="S4295" s="1"/>
    </row>
    <row r="4296" spans="9:19" x14ac:dyDescent="0.3">
      <c r="I4296" s="1"/>
      <c r="S4296" s="1"/>
    </row>
    <row r="4297" spans="9:19" x14ac:dyDescent="0.3">
      <c r="I4297" s="1"/>
      <c r="S4297" s="1"/>
    </row>
    <row r="4298" spans="9:19" x14ac:dyDescent="0.3">
      <c r="I4298" s="1"/>
      <c r="S4298" s="1"/>
    </row>
    <row r="4299" spans="9:19" x14ac:dyDescent="0.3">
      <c r="I4299" s="1"/>
      <c r="S4299" s="1"/>
    </row>
    <row r="4300" spans="9:19" x14ac:dyDescent="0.3">
      <c r="I4300" s="1"/>
      <c r="S4300" s="1"/>
    </row>
    <row r="4301" spans="9:19" x14ac:dyDescent="0.3">
      <c r="I4301" s="1"/>
      <c r="S4301" s="1"/>
    </row>
    <row r="4302" spans="9:19" x14ac:dyDescent="0.3">
      <c r="I4302" s="1"/>
      <c r="S4302" s="1"/>
    </row>
    <row r="4303" spans="9:19" x14ac:dyDescent="0.3">
      <c r="I4303" s="1"/>
      <c r="S4303" s="1"/>
    </row>
    <row r="4304" spans="9:19" x14ac:dyDescent="0.3">
      <c r="I4304" s="1"/>
      <c r="S4304" s="1"/>
    </row>
    <row r="4305" spans="9:19" x14ac:dyDescent="0.3">
      <c r="I4305" s="1"/>
      <c r="S4305" s="1"/>
    </row>
    <row r="4306" spans="9:19" x14ac:dyDescent="0.3">
      <c r="I4306" s="1"/>
      <c r="S4306" s="1"/>
    </row>
    <row r="4307" spans="9:19" x14ac:dyDescent="0.3">
      <c r="I4307" s="1"/>
      <c r="S4307" s="1"/>
    </row>
    <row r="4308" spans="9:19" x14ac:dyDescent="0.3">
      <c r="I4308" s="1"/>
      <c r="S4308" s="1"/>
    </row>
    <row r="4309" spans="9:19" x14ac:dyDescent="0.3">
      <c r="I4309" s="1"/>
      <c r="S4309" s="1"/>
    </row>
    <row r="4310" spans="9:19" x14ac:dyDescent="0.3">
      <c r="I4310" s="1"/>
      <c r="S4310" s="1"/>
    </row>
    <row r="4311" spans="9:19" x14ac:dyDescent="0.3">
      <c r="I4311" s="1"/>
      <c r="S4311" s="1"/>
    </row>
    <row r="4312" spans="9:19" x14ac:dyDescent="0.3">
      <c r="I4312" s="1"/>
      <c r="S4312" s="1"/>
    </row>
    <row r="4313" spans="9:19" x14ac:dyDescent="0.3">
      <c r="I4313" s="1"/>
      <c r="S4313" s="1"/>
    </row>
    <row r="4314" spans="9:19" x14ac:dyDescent="0.3">
      <c r="I4314" s="1"/>
      <c r="S4314" s="1"/>
    </row>
    <row r="4315" spans="9:19" x14ac:dyDescent="0.3">
      <c r="I4315" s="1"/>
      <c r="S4315" s="1"/>
    </row>
    <row r="4316" spans="9:19" x14ac:dyDescent="0.3">
      <c r="I4316" s="1"/>
      <c r="S4316" s="1"/>
    </row>
    <row r="4317" spans="9:19" x14ac:dyDescent="0.3">
      <c r="I4317" s="1"/>
      <c r="S4317" s="1"/>
    </row>
    <row r="4318" spans="9:19" x14ac:dyDescent="0.3">
      <c r="I4318" s="1"/>
      <c r="S4318" s="1"/>
    </row>
    <row r="4319" spans="9:19" x14ac:dyDescent="0.3">
      <c r="I4319" s="1"/>
      <c r="S4319" s="1"/>
    </row>
    <row r="4320" spans="9:19" x14ac:dyDescent="0.3">
      <c r="I4320" s="1"/>
      <c r="S4320" s="1"/>
    </row>
    <row r="4321" spans="9:19" x14ac:dyDescent="0.3">
      <c r="I4321" s="1"/>
      <c r="S4321" s="1"/>
    </row>
    <row r="4322" spans="9:19" x14ac:dyDescent="0.3">
      <c r="I4322" s="1"/>
      <c r="S4322" s="1"/>
    </row>
    <row r="4323" spans="9:19" x14ac:dyDescent="0.3">
      <c r="I4323" s="1"/>
      <c r="S4323" s="1"/>
    </row>
    <row r="4324" spans="9:19" x14ac:dyDescent="0.3">
      <c r="I4324" s="1"/>
      <c r="S4324" s="1"/>
    </row>
    <row r="4325" spans="9:19" x14ac:dyDescent="0.3">
      <c r="I4325" s="1"/>
      <c r="S4325" s="1"/>
    </row>
    <row r="4326" spans="9:19" x14ac:dyDescent="0.3">
      <c r="I4326" s="1"/>
      <c r="S4326" s="1"/>
    </row>
    <row r="4327" spans="9:19" x14ac:dyDescent="0.3">
      <c r="I4327" s="1"/>
      <c r="S4327" s="1"/>
    </row>
    <row r="4328" spans="9:19" x14ac:dyDescent="0.3">
      <c r="I4328" s="1"/>
      <c r="S4328" s="1"/>
    </row>
    <row r="4329" spans="9:19" x14ac:dyDescent="0.3">
      <c r="I4329" s="1"/>
      <c r="S4329" s="1"/>
    </row>
    <row r="4330" spans="9:19" x14ac:dyDescent="0.3">
      <c r="I4330" s="1"/>
      <c r="S4330" s="1"/>
    </row>
    <row r="4331" spans="9:19" x14ac:dyDescent="0.3">
      <c r="I4331" s="1"/>
      <c r="S4331" s="1"/>
    </row>
    <row r="4332" spans="9:19" x14ac:dyDescent="0.3">
      <c r="I4332" s="1"/>
      <c r="S4332" s="1"/>
    </row>
    <row r="4333" spans="9:19" x14ac:dyDescent="0.3">
      <c r="I4333" s="1"/>
      <c r="S4333" s="1"/>
    </row>
    <row r="4334" spans="9:19" x14ac:dyDescent="0.3">
      <c r="I4334" s="1"/>
      <c r="S4334" s="1"/>
    </row>
    <row r="4335" spans="9:19" x14ac:dyDescent="0.3">
      <c r="I4335" s="1"/>
      <c r="S4335" s="1"/>
    </row>
    <row r="4336" spans="9:19" x14ac:dyDescent="0.3">
      <c r="I4336" s="1"/>
      <c r="S4336" s="1"/>
    </row>
    <row r="4337" spans="9:19" x14ac:dyDescent="0.3">
      <c r="I4337" s="1"/>
      <c r="S4337" s="1"/>
    </row>
    <row r="4338" spans="9:19" x14ac:dyDescent="0.3">
      <c r="I4338" s="1"/>
      <c r="S4338" s="1"/>
    </row>
    <row r="4339" spans="9:19" x14ac:dyDescent="0.3">
      <c r="I4339" s="1"/>
      <c r="S4339" s="1"/>
    </row>
    <row r="4340" spans="9:19" x14ac:dyDescent="0.3">
      <c r="I4340" s="1"/>
      <c r="S4340" s="1"/>
    </row>
    <row r="4341" spans="9:19" x14ac:dyDescent="0.3">
      <c r="I4341" s="1"/>
      <c r="S4341" s="1"/>
    </row>
    <row r="4342" spans="9:19" x14ac:dyDescent="0.3">
      <c r="I4342" s="1"/>
      <c r="S4342" s="1"/>
    </row>
    <row r="4343" spans="9:19" x14ac:dyDescent="0.3">
      <c r="I4343" s="1"/>
      <c r="S4343" s="1"/>
    </row>
    <row r="4344" spans="9:19" x14ac:dyDescent="0.3">
      <c r="I4344" s="1"/>
      <c r="S4344" s="1"/>
    </row>
    <row r="4345" spans="9:19" x14ac:dyDescent="0.3">
      <c r="I4345" s="1"/>
      <c r="S4345" s="1"/>
    </row>
    <row r="4346" spans="9:19" x14ac:dyDescent="0.3">
      <c r="I4346" s="1"/>
      <c r="S4346" s="1"/>
    </row>
    <row r="4347" spans="9:19" x14ac:dyDescent="0.3">
      <c r="I4347" s="1"/>
      <c r="S4347" s="1"/>
    </row>
    <row r="4348" spans="9:19" x14ac:dyDescent="0.3">
      <c r="I4348" s="1"/>
      <c r="S4348" s="1"/>
    </row>
    <row r="4349" spans="9:19" x14ac:dyDescent="0.3">
      <c r="I4349" s="1"/>
      <c r="S4349" s="1"/>
    </row>
    <row r="4350" spans="9:19" x14ac:dyDescent="0.3">
      <c r="I4350" s="1"/>
      <c r="S4350" s="1"/>
    </row>
    <row r="4351" spans="9:19" x14ac:dyDescent="0.3">
      <c r="I4351" s="1"/>
      <c r="S4351" s="1"/>
    </row>
    <row r="4352" spans="9:19" x14ac:dyDescent="0.3">
      <c r="I4352" s="1"/>
      <c r="S4352" s="1"/>
    </row>
    <row r="4353" spans="9:19" x14ac:dyDescent="0.3">
      <c r="I4353" s="1"/>
      <c r="S4353" s="1"/>
    </row>
    <row r="4354" spans="9:19" x14ac:dyDescent="0.3">
      <c r="I4354" s="1"/>
      <c r="S4354" s="1"/>
    </row>
    <row r="4355" spans="9:19" x14ac:dyDescent="0.3">
      <c r="I4355" s="1"/>
      <c r="S4355" s="1"/>
    </row>
    <row r="4356" spans="9:19" x14ac:dyDescent="0.3">
      <c r="I4356" s="1"/>
      <c r="S4356" s="1"/>
    </row>
    <row r="4357" spans="9:19" x14ac:dyDescent="0.3">
      <c r="I4357" s="1"/>
      <c r="S4357" s="1"/>
    </row>
    <row r="4358" spans="9:19" x14ac:dyDescent="0.3">
      <c r="I4358" s="1"/>
      <c r="S4358" s="1"/>
    </row>
    <row r="4359" spans="9:19" x14ac:dyDescent="0.3">
      <c r="I4359" s="1"/>
      <c r="S4359" s="1"/>
    </row>
    <row r="4360" spans="9:19" x14ac:dyDescent="0.3">
      <c r="I4360" s="1"/>
      <c r="S4360" s="1"/>
    </row>
    <row r="4361" spans="9:19" x14ac:dyDescent="0.3">
      <c r="I4361" s="1"/>
      <c r="S4361" s="1"/>
    </row>
    <row r="4362" spans="9:19" x14ac:dyDescent="0.3">
      <c r="I4362" s="1"/>
      <c r="S4362" s="1"/>
    </row>
    <row r="4363" spans="9:19" x14ac:dyDescent="0.3">
      <c r="I4363" s="1"/>
      <c r="S4363" s="1"/>
    </row>
    <row r="4364" spans="9:19" x14ac:dyDescent="0.3">
      <c r="I4364" s="1"/>
      <c r="S4364" s="1"/>
    </row>
    <row r="4365" spans="9:19" x14ac:dyDescent="0.3">
      <c r="I4365" s="1"/>
      <c r="S4365" s="1"/>
    </row>
    <row r="4366" spans="9:19" x14ac:dyDescent="0.3">
      <c r="I4366" s="1"/>
      <c r="S4366" s="1"/>
    </row>
    <row r="4367" spans="9:19" x14ac:dyDescent="0.3">
      <c r="I4367" s="1"/>
      <c r="S4367" s="1"/>
    </row>
    <row r="4368" spans="9:19" x14ac:dyDescent="0.3">
      <c r="I4368" s="1"/>
      <c r="S4368" s="1"/>
    </row>
    <row r="4369" spans="9:19" x14ac:dyDescent="0.3">
      <c r="I4369" s="1"/>
      <c r="S4369" s="1"/>
    </row>
    <row r="4370" spans="9:19" x14ac:dyDescent="0.3">
      <c r="I4370" s="1"/>
      <c r="S4370" s="1"/>
    </row>
    <row r="4371" spans="9:19" x14ac:dyDescent="0.3">
      <c r="I4371" s="1"/>
      <c r="S4371" s="1"/>
    </row>
    <row r="4372" spans="9:19" x14ac:dyDescent="0.3">
      <c r="I4372" s="1"/>
      <c r="S4372" s="1"/>
    </row>
    <row r="4373" spans="9:19" x14ac:dyDescent="0.3">
      <c r="I4373" s="1"/>
      <c r="S4373" s="1"/>
    </row>
    <row r="4374" spans="9:19" x14ac:dyDescent="0.3">
      <c r="I4374" s="1"/>
      <c r="S4374" s="1"/>
    </row>
    <row r="4375" spans="9:19" x14ac:dyDescent="0.3">
      <c r="I4375" s="1"/>
      <c r="S4375" s="1"/>
    </row>
    <row r="4376" spans="9:19" x14ac:dyDescent="0.3">
      <c r="I4376" s="1"/>
      <c r="S4376" s="1"/>
    </row>
    <row r="4377" spans="9:19" x14ac:dyDescent="0.3">
      <c r="I4377" s="1"/>
      <c r="S4377" s="1"/>
    </row>
    <row r="4378" spans="9:19" x14ac:dyDescent="0.3">
      <c r="I4378" s="1"/>
      <c r="S4378" s="1"/>
    </row>
    <row r="4379" spans="9:19" x14ac:dyDescent="0.3">
      <c r="I4379" s="1"/>
      <c r="S4379" s="1"/>
    </row>
    <row r="4380" spans="9:19" x14ac:dyDescent="0.3">
      <c r="I4380" s="1"/>
      <c r="S4380" s="1"/>
    </row>
    <row r="4381" spans="9:19" x14ac:dyDescent="0.3">
      <c r="I4381" s="1"/>
      <c r="S4381" s="1"/>
    </row>
    <row r="4382" spans="9:19" x14ac:dyDescent="0.3">
      <c r="I4382" s="1"/>
      <c r="S4382" s="1"/>
    </row>
    <row r="4383" spans="9:19" x14ac:dyDescent="0.3">
      <c r="I4383" s="1"/>
      <c r="S4383" s="1"/>
    </row>
    <row r="4384" spans="9:19" x14ac:dyDescent="0.3">
      <c r="I4384" s="1"/>
      <c r="S4384" s="1"/>
    </row>
    <row r="4385" spans="9:19" x14ac:dyDescent="0.3">
      <c r="I4385" s="1"/>
      <c r="S4385" s="1"/>
    </row>
    <row r="4386" spans="9:19" x14ac:dyDescent="0.3">
      <c r="I4386" s="1"/>
      <c r="S4386" s="1"/>
    </row>
    <row r="4387" spans="9:19" x14ac:dyDescent="0.3">
      <c r="I4387" s="1"/>
      <c r="S4387" s="1"/>
    </row>
    <row r="4388" spans="9:19" x14ac:dyDescent="0.3">
      <c r="I4388" s="1"/>
      <c r="S4388" s="1"/>
    </row>
    <row r="4389" spans="9:19" x14ac:dyDescent="0.3">
      <c r="I4389" s="1"/>
      <c r="S4389" s="1"/>
    </row>
    <row r="4390" spans="9:19" x14ac:dyDescent="0.3">
      <c r="I4390" s="1"/>
      <c r="S4390" s="1"/>
    </row>
    <row r="4391" spans="9:19" x14ac:dyDescent="0.3">
      <c r="I4391" s="1"/>
      <c r="S4391" s="1"/>
    </row>
    <row r="4392" spans="9:19" x14ac:dyDescent="0.3">
      <c r="I4392" s="1"/>
      <c r="S4392" s="1"/>
    </row>
    <row r="4393" spans="9:19" x14ac:dyDescent="0.3">
      <c r="I4393" s="1"/>
      <c r="S4393" s="1"/>
    </row>
    <row r="4394" spans="9:19" x14ac:dyDescent="0.3">
      <c r="I4394" s="1"/>
      <c r="S4394" s="1"/>
    </row>
    <row r="4395" spans="9:19" x14ac:dyDescent="0.3">
      <c r="I4395" s="1"/>
      <c r="S4395" s="1"/>
    </row>
    <row r="4396" spans="9:19" x14ac:dyDescent="0.3">
      <c r="I4396" s="1"/>
      <c r="S4396" s="1"/>
    </row>
    <row r="4397" spans="9:19" x14ac:dyDescent="0.3">
      <c r="I4397" s="1"/>
      <c r="S4397" s="1"/>
    </row>
    <row r="4398" spans="9:19" x14ac:dyDescent="0.3">
      <c r="I4398" s="1"/>
      <c r="S4398" s="1"/>
    </row>
    <row r="4399" spans="9:19" x14ac:dyDescent="0.3">
      <c r="I4399" s="1"/>
      <c r="S4399" s="1"/>
    </row>
    <row r="4400" spans="9:19" x14ac:dyDescent="0.3">
      <c r="I4400" s="1"/>
      <c r="S4400" s="1"/>
    </row>
    <row r="4401" spans="9:19" x14ac:dyDescent="0.3">
      <c r="I4401" s="1"/>
      <c r="S4401" s="1"/>
    </row>
    <row r="4402" spans="9:19" x14ac:dyDescent="0.3">
      <c r="I4402" s="1"/>
      <c r="S4402" s="1"/>
    </row>
    <row r="4403" spans="9:19" x14ac:dyDescent="0.3">
      <c r="I4403" s="1"/>
      <c r="S4403" s="1"/>
    </row>
    <row r="4404" spans="9:19" x14ac:dyDescent="0.3">
      <c r="I4404" s="1"/>
      <c r="S4404" s="1"/>
    </row>
    <row r="4405" spans="9:19" x14ac:dyDescent="0.3">
      <c r="I4405" s="1"/>
      <c r="S4405" s="1"/>
    </row>
    <row r="4406" spans="9:19" x14ac:dyDescent="0.3">
      <c r="I4406" s="1"/>
      <c r="S4406" s="1"/>
    </row>
    <row r="4407" spans="9:19" x14ac:dyDescent="0.3">
      <c r="I4407" s="1"/>
      <c r="S4407" s="1"/>
    </row>
    <row r="4408" spans="9:19" x14ac:dyDescent="0.3">
      <c r="I4408" s="1"/>
      <c r="S4408" s="1"/>
    </row>
    <row r="4409" spans="9:19" x14ac:dyDescent="0.3">
      <c r="I4409" s="1"/>
      <c r="S4409" s="1"/>
    </row>
    <row r="4410" spans="9:19" x14ac:dyDescent="0.3">
      <c r="I4410" s="1"/>
      <c r="S4410" s="1"/>
    </row>
    <row r="4411" spans="9:19" x14ac:dyDescent="0.3">
      <c r="I4411" s="1"/>
      <c r="S4411" s="1"/>
    </row>
    <row r="4412" spans="9:19" x14ac:dyDescent="0.3">
      <c r="I4412" s="1"/>
      <c r="S4412" s="1"/>
    </row>
    <row r="4413" spans="9:19" x14ac:dyDescent="0.3">
      <c r="I4413" s="1"/>
      <c r="S4413" s="1"/>
    </row>
    <row r="4414" spans="9:19" x14ac:dyDescent="0.3">
      <c r="I4414" s="1"/>
      <c r="S4414" s="1"/>
    </row>
    <row r="4415" spans="9:19" x14ac:dyDescent="0.3">
      <c r="I4415" s="1"/>
      <c r="S4415" s="1"/>
    </row>
    <row r="4416" spans="9:19" x14ac:dyDescent="0.3">
      <c r="I4416" s="1"/>
      <c r="S4416" s="1"/>
    </row>
    <row r="4417" spans="9:19" x14ac:dyDescent="0.3">
      <c r="I4417" s="1"/>
      <c r="S4417" s="1"/>
    </row>
    <row r="4418" spans="9:19" x14ac:dyDescent="0.3">
      <c r="I4418" s="1"/>
      <c r="S4418" s="1"/>
    </row>
    <row r="4419" spans="9:19" x14ac:dyDescent="0.3">
      <c r="I4419" s="1"/>
      <c r="S4419" s="1"/>
    </row>
    <row r="4420" spans="9:19" x14ac:dyDescent="0.3">
      <c r="I4420" s="1"/>
      <c r="S4420" s="1"/>
    </row>
    <row r="4421" spans="9:19" x14ac:dyDescent="0.3">
      <c r="I4421" s="1"/>
      <c r="S4421" s="1"/>
    </row>
    <row r="4422" spans="9:19" x14ac:dyDescent="0.3">
      <c r="I4422" s="1"/>
      <c r="S4422" s="1"/>
    </row>
    <row r="4423" spans="9:19" x14ac:dyDescent="0.3">
      <c r="I4423" s="1"/>
      <c r="S4423" s="1"/>
    </row>
    <row r="4424" spans="9:19" x14ac:dyDescent="0.3">
      <c r="I4424" s="1"/>
      <c r="S4424" s="1"/>
    </row>
    <row r="4425" spans="9:19" x14ac:dyDescent="0.3">
      <c r="I4425" s="1"/>
      <c r="S4425" s="1"/>
    </row>
    <row r="4426" spans="9:19" x14ac:dyDescent="0.3">
      <c r="I4426" s="1"/>
      <c r="S4426" s="1"/>
    </row>
    <row r="4427" spans="9:19" x14ac:dyDescent="0.3">
      <c r="I4427" s="1"/>
      <c r="S4427" s="1"/>
    </row>
    <row r="4428" spans="9:19" x14ac:dyDescent="0.3">
      <c r="I4428" s="1"/>
      <c r="S4428" s="1"/>
    </row>
    <row r="4429" spans="9:19" x14ac:dyDescent="0.3">
      <c r="I4429" s="1"/>
      <c r="S4429" s="1"/>
    </row>
    <row r="4430" spans="9:19" x14ac:dyDescent="0.3">
      <c r="I4430" s="1"/>
      <c r="S4430" s="1"/>
    </row>
    <row r="4431" spans="9:19" x14ac:dyDescent="0.3">
      <c r="I4431" s="1"/>
      <c r="S4431" s="1"/>
    </row>
    <row r="4432" spans="9:19" x14ac:dyDescent="0.3">
      <c r="I4432" s="1"/>
      <c r="S4432" s="1"/>
    </row>
    <row r="4433" spans="9:19" x14ac:dyDescent="0.3">
      <c r="I4433" s="1"/>
      <c r="S4433" s="1"/>
    </row>
    <row r="4434" spans="9:19" x14ac:dyDescent="0.3">
      <c r="I4434" s="1"/>
      <c r="S4434" s="1"/>
    </row>
    <row r="4435" spans="9:19" x14ac:dyDescent="0.3">
      <c r="I4435" s="1"/>
      <c r="S4435" s="1"/>
    </row>
    <row r="4436" spans="9:19" x14ac:dyDescent="0.3">
      <c r="I4436" s="1"/>
      <c r="S4436" s="1"/>
    </row>
    <row r="4437" spans="9:19" x14ac:dyDescent="0.3">
      <c r="I4437" s="1"/>
      <c r="S4437" s="1"/>
    </row>
    <row r="4438" spans="9:19" x14ac:dyDescent="0.3">
      <c r="I4438" s="1"/>
      <c r="S4438" s="1"/>
    </row>
    <row r="4439" spans="9:19" x14ac:dyDescent="0.3">
      <c r="I4439" s="1"/>
      <c r="S4439" s="1"/>
    </row>
    <row r="4440" spans="9:19" x14ac:dyDescent="0.3">
      <c r="I4440" s="1"/>
      <c r="S4440" s="1"/>
    </row>
    <row r="4441" spans="9:19" x14ac:dyDescent="0.3">
      <c r="I4441" s="1"/>
      <c r="S4441" s="1"/>
    </row>
    <row r="4442" spans="9:19" x14ac:dyDescent="0.3">
      <c r="I4442" s="1"/>
      <c r="S4442" s="1"/>
    </row>
    <row r="4443" spans="9:19" x14ac:dyDescent="0.3">
      <c r="I4443" s="1"/>
      <c r="S4443" s="1"/>
    </row>
    <row r="4444" spans="9:19" x14ac:dyDescent="0.3">
      <c r="I4444" s="1"/>
      <c r="S4444" s="1"/>
    </row>
    <row r="4445" spans="9:19" x14ac:dyDescent="0.3">
      <c r="I4445" s="1"/>
      <c r="S4445" s="1"/>
    </row>
    <row r="4446" spans="9:19" x14ac:dyDescent="0.3">
      <c r="I4446" s="1"/>
      <c r="S4446" s="1"/>
    </row>
    <row r="4447" spans="9:19" x14ac:dyDescent="0.3">
      <c r="I4447" s="1"/>
      <c r="S4447" s="1"/>
    </row>
    <row r="4448" spans="9:19" x14ac:dyDescent="0.3">
      <c r="I4448" s="1"/>
      <c r="S4448" s="1"/>
    </row>
    <row r="4449" spans="9:19" x14ac:dyDescent="0.3">
      <c r="I4449" s="1"/>
      <c r="S4449" s="1"/>
    </row>
    <row r="4450" spans="9:19" x14ac:dyDescent="0.3">
      <c r="I4450" s="1"/>
      <c r="S4450" s="1"/>
    </row>
    <row r="4451" spans="9:19" x14ac:dyDescent="0.3">
      <c r="I4451" s="1"/>
      <c r="S4451" s="1"/>
    </row>
    <row r="4452" spans="9:19" x14ac:dyDescent="0.3">
      <c r="I4452" s="1"/>
      <c r="S4452" s="1"/>
    </row>
    <row r="4453" spans="9:19" x14ac:dyDescent="0.3">
      <c r="I4453" s="1"/>
      <c r="S4453" s="1"/>
    </row>
    <row r="4454" spans="9:19" x14ac:dyDescent="0.3">
      <c r="I4454" s="1"/>
      <c r="S4454" s="1"/>
    </row>
    <row r="4455" spans="9:19" x14ac:dyDescent="0.3">
      <c r="I4455" s="1"/>
      <c r="S4455" s="1"/>
    </row>
    <row r="4456" spans="9:19" x14ac:dyDescent="0.3">
      <c r="I4456" s="1"/>
      <c r="S4456" s="1"/>
    </row>
    <row r="4457" spans="9:19" x14ac:dyDescent="0.3">
      <c r="I4457" s="1"/>
      <c r="S4457" s="1"/>
    </row>
    <row r="4458" spans="9:19" x14ac:dyDescent="0.3">
      <c r="I4458" s="1"/>
      <c r="S4458" s="1"/>
    </row>
    <row r="4459" spans="9:19" x14ac:dyDescent="0.3">
      <c r="I4459" s="1"/>
      <c r="S4459" s="1"/>
    </row>
    <row r="4460" spans="9:19" x14ac:dyDescent="0.3">
      <c r="I4460" s="1"/>
      <c r="S4460" s="1"/>
    </row>
    <row r="4461" spans="9:19" x14ac:dyDescent="0.3">
      <c r="I4461" s="1"/>
      <c r="S4461" s="1"/>
    </row>
    <row r="4462" spans="9:19" x14ac:dyDescent="0.3">
      <c r="I4462" s="1"/>
      <c r="S4462" s="1"/>
    </row>
    <row r="4463" spans="9:19" x14ac:dyDescent="0.3">
      <c r="I4463" s="1"/>
      <c r="S4463" s="1"/>
    </row>
    <row r="4464" spans="9:19" x14ac:dyDescent="0.3">
      <c r="I4464" s="1"/>
      <c r="S4464" s="1"/>
    </row>
    <row r="4465" spans="9:19" x14ac:dyDescent="0.3">
      <c r="I4465" s="1"/>
      <c r="S4465" s="1"/>
    </row>
    <row r="4466" spans="9:19" x14ac:dyDescent="0.3">
      <c r="I4466" s="1"/>
      <c r="S4466" s="1"/>
    </row>
    <row r="4467" spans="9:19" x14ac:dyDescent="0.3">
      <c r="I4467" s="1"/>
      <c r="S4467" s="1"/>
    </row>
    <row r="4468" spans="9:19" x14ac:dyDescent="0.3">
      <c r="I4468" s="1"/>
      <c r="S4468" s="1"/>
    </row>
    <row r="4469" spans="9:19" x14ac:dyDescent="0.3">
      <c r="I4469" s="1"/>
      <c r="S4469" s="1"/>
    </row>
    <row r="4470" spans="9:19" x14ac:dyDescent="0.3">
      <c r="I4470" s="1"/>
      <c r="S4470" s="1"/>
    </row>
    <row r="4471" spans="9:19" x14ac:dyDescent="0.3">
      <c r="I4471" s="1"/>
      <c r="S4471" s="1"/>
    </row>
    <row r="4472" spans="9:19" x14ac:dyDescent="0.3">
      <c r="I4472" s="1"/>
      <c r="S4472" s="1"/>
    </row>
    <row r="4473" spans="9:19" x14ac:dyDescent="0.3">
      <c r="I4473" s="1"/>
      <c r="S4473" s="1"/>
    </row>
    <row r="4474" spans="9:19" x14ac:dyDescent="0.3">
      <c r="I4474" s="1"/>
      <c r="S4474" s="1"/>
    </row>
    <row r="4475" spans="9:19" x14ac:dyDescent="0.3">
      <c r="I4475" s="1"/>
      <c r="S4475" s="1"/>
    </row>
    <row r="4476" spans="9:19" x14ac:dyDescent="0.3">
      <c r="I4476" s="1"/>
      <c r="S4476" s="1"/>
    </row>
    <row r="4477" spans="9:19" x14ac:dyDescent="0.3">
      <c r="I4477" s="1"/>
      <c r="S4477" s="1"/>
    </row>
    <row r="4478" spans="9:19" x14ac:dyDescent="0.3">
      <c r="I4478" s="1"/>
      <c r="S4478" s="1"/>
    </row>
    <row r="4479" spans="9:19" x14ac:dyDescent="0.3">
      <c r="I4479" s="1"/>
      <c r="S4479" s="1"/>
    </row>
    <row r="4480" spans="9:19" x14ac:dyDescent="0.3">
      <c r="I4480" s="1"/>
      <c r="S4480" s="1"/>
    </row>
    <row r="4481" spans="9:19" x14ac:dyDescent="0.3">
      <c r="I4481" s="1"/>
      <c r="S4481" s="1"/>
    </row>
    <row r="4482" spans="9:19" x14ac:dyDescent="0.3">
      <c r="I4482" s="1"/>
      <c r="S4482" s="1"/>
    </row>
    <row r="4483" spans="9:19" x14ac:dyDescent="0.3">
      <c r="I4483" s="1"/>
      <c r="S4483" s="1"/>
    </row>
    <row r="4484" spans="9:19" x14ac:dyDescent="0.3">
      <c r="I4484" s="1"/>
      <c r="S4484" s="1"/>
    </row>
    <row r="4485" spans="9:19" x14ac:dyDescent="0.3">
      <c r="I4485" s="1"/>
      <c r="S4485" s="1"/>
    </row>
    <row r="4486" spans="9:19" x14ac:dyDescent="0.3">
      <c r="I4486" s="1"/>
      <c r="S4486" s="1"/>
    </row>
    <row r="4487" spans="9:19" x14ac:dyDescent="0.3">
      <c r="I4487" s="1"/>
      <c r="S4487" s="1"/>
    </row>
    <row r="4488" spans="9:19" x14ac:dyDescent="0.3">
      <c r="I4488" s="1"/>
      <c r="S4488" s="1"/>
    </row>
    <row r="4489" spans="9:19" x14ac:dyDescent="0.3">
      <c r="I4489" s="1"/>
      <c r="S4489" s="1"/>
    </row>
    <row r="4490" spans="9:19" x14ac:dyDescent="0.3">
      <c r="I4490" s="1"/>
      <c r="S4490" s="1"/>
    </row>
    <row r="4491" spans="9:19" x14ac:dyDescent="0.3">
      <c r="I4491" s="1"/>
      <c r="S4491" s="1"/>
    </row>
    <row r="4492" spans="9:19" x14ac:dyDescent="0.3">
      <c r="I4492" s="1"/>
      <c r="S4492" s="1"/>
    </row>
    <row r="4493" spans="9:19" x14ac:dyDescent="0.3">
      <c r="I4493" s="1"/>
      <c r="S4493" s="1"/>
    </row>
    <row r="4494" spans="9:19" x14ac:dyDescent="0.3">
      <c r="I4494" s="1"/>
      <c r="S4494" s="1"/>
    </row>
    <row r="4495" spans="9:19" x14ac:dyDescent="0.3">
      <c r="I4495" s="1"/>
      <c r="S4495" s="1"/>
    </row>
    <row r="4496" spans="9:19" x14ac:dyDescent="0.3">
      <c r="I4496" s="1"/>
      <c r="S4496" s="1"/>
    </row>
    <row r="4497" spans="9:19" x14ac:dyDescent="0.3">
      <c r="I4497" s="1"/>
      <c r="S4497" s="1"/>
    </row>
    <row r="4498" spans="9:19" x14ac:dyDescent="0.3">
      <c r="I4498" s="1"/>
      <c r="S4498" s="1"/>
    </row>
    <row r="4499" spans="9:19" x14ac:dyDescent="0.3">
      <c r="I4499" s="1"/>
      <c r="S4499" s="1"/>
    </row>
    <row r="4500" spans="9:19" x14ac:dyDescent="0.3">
      <c r="I4500" s="1"/>
      <c r="S4500" s="1"/>
    </row>
    <row r="4501" spans="9:19" x14ac:dyDescent="0.3">
      <c r="I4501" s="1"/>
      <c r="S4501" s="1"/>
    </row>
    <row r="4502" spans="9:19" x14ac:dyDescent="0.3">
      <c r="I4502" s="1"/>
      <c r="S4502" s="1"/>
    </row>
    <row r="4503" spans="9:19" x14ac:dyDescent="0.3">
      <c r="I4503" s="1"/>
      <c r="S4503" s="1"/>
    </row>
    <row r="4504" spans="9:19" x14ac:dyDescent="0.3">
      <c r="I4504" s="1"/>
      <c r="S4504" s="1"/>
    </row>
    <row r="4505" spans="9:19" x14ac:dyDescent="0.3">
      <c r="I4505" s="1"/>
      <c r="S4505" s="1"/>
    </row>
    <row r="4506" spans="9:19" x14ac:dyDescent="0.3">
      <c r="I4506" s="1"/>
      <c r="S4506" s="1"/>
    </row>
    <row r="4507" spans="9:19" x14ac:dyDescent="0.3">
      <c r="I4507" s="1"/>
      <c r="S4507" s="1"/>
    </row>
    <row r="4508" spans="9:19" x14ac:dyDescent="0.3">
      <c r="I4508" s="1"/>
      <c r="S4508" s="1"/>
    </row>
    <row r="4509" spans="9:19" x14ac:dyDescent="0.3">
      <c r="I4509" s="1"/>
      <c r="S4509" s="1"/>
    </row>
    <row r="4510" spans="9:19" x14ac:dyDescent="0.3">
      <c r="I4510" s="1"/>
      <c r="S4510" s="1"/>
    </row>
    <row r="4511" spans="9:19" x14ac:dyDescent="0.3">
      <c r="I4511" s="1"/>
      <c r="S4511" s="1"/>
    </row>
    <row r="4512" spans="9:19" x14ac:dyDescent="0.3">
      <c r="I4512" s="1"/>
      <c r="S4512" s="1"/>
    </row>
    <row r="4513" spans="9:19" x14ac:dyDescent="0.3">
      <c r="I4513" s="1"/>
      <c r="S4513" s="1"/>
    </row>
    <row r="4514" spans="9:19" x14ac:dyDescent="0.3">
      <c r="I4514" s="1"/>
      <c r="S4514" s="1"/>
    </row>
    <row r="4515" spans="9:19" x14ac:dyDescent="0.3">
      <c r="I4515" s="1"/>
      <c r="S4515" s="1"/>
    </row>
    <row r="4516" spans="9:19" x14ac:dyDescent="0.3">
      <c r="I4516" s="1"/>
      <c r="S4516" s="1"/>
    </row>
    <row r="4517" spans="9:19" x14ac:dyDescent="0.3">
      <c r="I4517" s="1"/>
      <c r="S4517" s="1"/>
    </row>
    <row r="4518" spans="9:19" x14ac:dyDescent="0.3">
      <c r="I4518" s="1"/>
      <c r="S4518" s="1"/>
    </row>
    <row r="4519" spans="9:19" x14ac:dyDescent="0.3">
      <c r="I4519" s="1"/>
      <c r="S4519" s="1"/>
    </row>
    <row r="4520" spans="9:19" x14ac:dyDescent="0.3">
      <c r="I4520" s="1"/>
      <c r="S4520" s="1"/>
    </row>
    <row r="4521" spans="9:19" x14ac:dyDescent="0.3">
      <c r="I4521" s="1"/>
      <c r="S4521" s="1"/>
    </row>
    <row r="4522" spans="9:19" x14ac:dyDescent="0.3">
      <c r="I4522" s="1"/>
      <c r="S4522" s="1"/>
    </row>
    <row r="4523" spans="9:19" x14ac:dyDescent="0.3">
      <c r="I4523" s="1"/>
      <c r="S4523" s="1"/>
    </row>
    <row r="4524" spans="9:19" x14ac:dyDescent="0.3">
      <c r="I4524" s="1"/>
      <c r="S4524" s="1"/>
    </row>
    <row r="4525" spans="9:19" x14ac:dyDescent="0.3">
      <c r="I4525" s="1"/>
      <c r="S4525" s="1"/>
    </row>
    <row r="4526" spans="9:19" x14ac:dyDescent="0.3">
      <c r="I4526" s="1"/>
      <c r="S4526" s="1"/>
    </row>
    <row r="4527" spans="9:19" x14ac:dyDescent="0.3">
      <c r="I4527" s="1"/>
      <c r="S4527" s="1"/>
    </row>
    <row r="4528" spans="9:19" x14ac:dyDescent="0.3">
      <c r="I4528" s="1"/>
      <c r="S4528" s="1"/>
    </row>
    <row r="4529" spans="9:19" x14ac:dyDescent="0.3">
      <c r="I4529" s="1"/>
      <c r="S4529" s="1"/>
    </row>
    <row r="4530" spans="9:19" x14ac:dyDescent="0.3">
      <c r="I4530" s="1"/>
      <c r="S4530" s="1"/>
    </row>
    <row r="4531" spans="9:19" x14ac:dyDescent="0.3">
      <c r="I4531" s="1"/>
      <c r="S4531" s="1"/>
    </row>
    <row r="4532" spans="9:19" x14ac:dyDescent="0.3">
      <c r="I4532" s="1"/>
      <c r="S4532" s="1"/>
    </row>
    <row r="4533" spans="9:19" x14ac:dyDescent="0.3">
      <c r="I4533" s="1"/>
      <c r="S4533" s="1"/>
    </row>
    <row r="4534" spans="9:19" x14ac:dyDescent="0.3">
      <c r="I4534" s="1"/>
      <c r="S4534" s="1"/>
    </row>
    <row r="4535" spans="9:19" x14ac:dyDescent="0.3">
      <c r="I4535" s="1"/>
      <c r="S4535" s="1"/>
    </row>
    <row r="4536" spans="9:19" x14ac:dyDescent="0.3">
      <c r="I4536" s="1"/>
      <c r="S4536" s="1"/>
    </row>
    <row r="4537" spans="9:19" x14ac:dyDescent="0.3">
      <c r="I4537" s="1"/>
      <c r="S4537" s="1"/>
    </row>
    <row r="4538" spans="9:19" x14ac:dyDescent="0.3">
      <c r="I4538" s="1"/>
      <c r="S4538" s="1"/>
    </row>
    <row r="4539" spans="9:19" x14ac:dyDescent="0.3">
      <c r="I4539" s="1"/>
      <c r="S4539" s="1"/>
    </row>
    <row r="4540" spans="9:19" x14ac:dyDescent="0.3">
      <c r="I4540" s="1"/>
      <c r="S4540" s="1"/>
    </row>
    <row r="4541" spans="9:19" x14ac:dyDescent="0.3">
      <c r="I4541" s="1"/>
      <c r="S4541" s="1"/>
    </row>
    <row r="4542" spans="9:19" x14ac:dyDescent="0.3">
      <c r="I4542" s="1"/>
      <c r="S4542" s="1"/>
    </row>
    <row r="4543" spans="9:19" x14ac:dyDescent="0.3">
      <c r="I4543" s="1"/>
      <c r="S4543" s="1"/>
    </row>
    <row r="4544" spans="9:19" x14ac:dyDescent="0.3">
      <c r="I4544" s="1"/>
      <c r="S4544" s="1"/>
    </row>
    <row r="4545" spans="9:19" x14ac:dyDescent="0.3">
      <c r="I4545" s="1"/>
      <c r="S4545" s="1"/>
    </row>
    <row r="4546" spans="9:19" x14ac:dyDescent="0.3">
      <c r="I4546" s="1"/>
      <c r="S4546" s="1"/>
    </row>
    <row r="4547" spans="9:19" x14ac:dyDescent="0.3">
      <c r="I4547" s="1"/>
      <c r="S4547" s="1"/>
    </row>
    <row r="4548" spans="9:19" x14ac:dyDescent="0.3">
      <c r="I4548" s="1"/>
      <c r="S4548" s="1"/>
    </row>
    <row r="4549" spans="9:19" x14ac:dyDescent="0.3">
      <c r="I4549" s="1"/>
      <c r="S4549" s="1"/>
    </row>
    <row r="4550" spans="9:19" x14ac:dyDescent="0.3">
      <c r="I4550" s="1"/>
      <c r="S4550" s="1"/>
    </row>
    <row r="4551" spans="9:19" x14ac:dyDescent="0.3">
      <c r="I4551" s="1"/>
      <c r="S4551" s="1"/>
    </row>
    <row r="4552" spans="9:19" x14ac:dyDescent="0.3">
      <c r="I4552" s="1"/>
      <c r="S4552" s="1"/>
    </row>
    <row r="4553" spans="9:19" x14ac:dyDescent="0.3">
      <c r="I4553" s="1"/>
      <c r="S4553" s="1"/>
    </row>
    <row r="4554" spans="9:19" x14ac:dyDescent="0.3">
      <c r="I4554" s="1"/>
      <c r="S4554" s="1"/>
    </row>
    <row r="4555" spans="9:19" x14ac:dyDescent="0.3">
      <c r="I4555" s="1"/>
      <c r="S4555" s="1"/>
    </row>
    <row r="4556" spans="9:19" x14ac:dyDescent="0.3">
      <c r="I4556" s="1"/>
      <c r="S4556" s="1"/>
    </row>
    <row r="4557" spans="9:19" x14ac:dyDescent="0.3">
      <c r="I4557" s="1"/>
      <c r="S4557" s="1"/>
    </row>
    <row r="4558" spans="9:19" x14ac:dyDescent="0.3">
      <c r="I4558" s="1"/>
      <c r="S4558" s="1"/>
    </row>
    <row r="4559" spans="9:19" x14ac:dyDescent="0.3">
      <c r="I4559" s="1"/>
      <c r="S4559" s="1"/>
    </row>
    <row r="4560" spans="9:19" x14ac:dyDescent="0.3">
      <c r="I4560" s="1"/>
      <c r="S4560" s="1"/>
    </row>
    <row r="4561" spans="9:19" x14ac:dyDescent="0.3">
      <c r="I4561" s="1"/>
      <c r="S4561" s="1"/>
    </row>
    <row r="4562" spans="9:19" x14ac:dyDescent="0.3">
      <c r="I4562" s="1"/>
      <c r="S4562" s="1"/>
    </row>
    <row r="4563" spans="9:19" x14ac:dyDescent="0.3">
      <c r="I4563" s="1"/>
      <c r="S4563" s="1"/>
    </row>
    <row r="4564" spans="9:19" x14ac:dyDescent="0.3">
      <c r="I4564" s="1"/>
      <c r="S4564" s="1"/>
    </row>
    <row r="4565" spans="9:19" x14ac:dyDescent="0.3">
      <c r="I4565" s="1"/>
      <c r="S4565" s="1"/>
    </row>
    <row r="4566" spans="9:19" x14ac:dyDescent="0.3">
      <c r="I4566" s="1"/>
      <c r="S4566" s="1"/>
    </row>
    <row r="4567" spans="9:19" x14ac:dyDescent="0.3">
      <c r="I4567" s="1"/>
      <c r="S4567" s="1"/>
    </row>
    <row r="4568" spans="9:19" x14ac:dyDescent="0.3">
      <c r="I4568" s="1"/>
      <c r="S4568" s="1"/>
    </row>
    <row r="4569" spans="9:19" x14ac:dyDescent="0.3">
      <c r="I4569" s="1"/>
      <c r="S4569" s="1"/>
    </row>
    <row r="4570" spans="9:19" x14ac:dyDescent="0.3">
      <c r="I4570" s="1"/>
      <c r="S4570" s="1"/>
    </row>
    <row r="4571" spans="9:19" x14ac:dyDescent="0.3">
      <c r="I4571" s="1"/>
      <c r="S4571" s="1"/>
    </row>
    <row r="4572" spans="9:19" x14ac:dyDescent="0.3">
      <c r="I4572" s="1"/>
      <c r="S4572" s="1"/>
    </row>
    <row r="4573" spans="9:19" x14ac:dyDescent="0.3">
      <c r="I4573" s="1"/>
      <c r="S4573" s="1"/>
    </row>
    <row r="4574" spans="9:19" x14ac:dyDescent="0.3">
      <c r="I4574" s="1"/>
      <c r="S4574" s="1"/>
    </row>
    <row r="4575" spans="9:19" x14ac:dyDescent="0.3">
      <c r="I4575" s="1"/>
      <c r="S4575" s="1"/>
    </row>
    <row r="4576" spans="9:19" x14ac:dyDescent="0.3">
      <c r="I4576" s="1"/>
      <c r="S4576" s="1"/>
    </row>
    <row r="4577" spans="9:19" x14ac:dyDescent="0.3">
      <c r="I4577" s="1"/>
      <c r="S4577" s="1"/>
    </row>
    <row r="4578" spans="9:19" x14ac:dyDescent="0.3">
      <c r="I4578" s="1"/>
      <c r="S4578" s="1"/>
    </row>
    <row r="4579" spans="9:19" x14ac:dyDescent="0.3">
      <c r="I4579" s="1"/>
      <c r="S4579" s="1"/>
    </row>
    <row r="4580" spans="9:19" x14ac:dyDescent="0.3">
      <c r="I4580" s="1"/>
      <c r="S4580" s="1"/>
    </row>
    <row r="4581" spans="9:19" x14ac:dyDescent="0.3">
      <c r="I4581" s="1"/>
      <c r="S4581" s="1"/>
    </row>
    <row r="4582" spans="9:19" x14ac:dyDescent="0.3">
      <c r="I4582" s="1"/>
      <c r="S4582" s="1"/>
    </row>
    <row r="4583" spans="9:19" x14ac:dyDescent="0.3">
      <c r="I4583" s="1"/>
      <c r="S4583" s="1"/>
    </row>
    <row r="4584" spans="9:19" x14ac:dyDescent="0.3">
      <c r="I4584" s="1"/>
      <c r="S4584" s="1"/>
    </row>
    <row r="4585" spans="9:19" x14ac:dyDescent="0.3">
      <c r="I4585" s="1"/>
      <c r="S4585" s="1"/>
    </row>
    <row r="4586" spans="9:19" x14ac:dyDescent="0.3">
      <c r="I4586" s="1"/>
      <c r="S4586" s="1"/>
    </row>
    <row r="4587" spans="9:19" x14ac:dyDescent="0.3">
      <c r="I4587" s="1"/>
      <c r="S4587" s="1"/>
    </row>
    <row r="4588" spans="9:19" x14ac:dyDescent="0.3">
      <c r="I4588" s="1"/>
      <c r="S4588" s="1"/>
    </row>
    <row r="4589" spans="9:19" x14ac:dyDescent="0.3">
      <c r="I4589" s="1"/>
      <c r="S4589" s="1"/>
    </row>
    <row r="4590" spans="9:19" x14ac:dyDescent="0.3">
      <c r="I4590" s="1"/>
      <c r="S4590" s="1"/>
    </row>
    <row r="4591" spans="9:19" x14ac:dyDescent="0.3">
      <c r="I4591" s="1"/>
      <c r="S4591" s="1"/>
    </row>
    <row r="4592" spans="9:19" x14ac:dyDescent="0.3">
      <c r="I4592" s="1"/>
      <c r="S4592" s="1"/>
    </row>
    <row r="4593" spans="9:19" x14ac:dyDescent="0.3">
      <c r="I4593" s="1"/>
      <c r="S4593" s="1"/>
    </row>
    <row r="4594" spans="9:19" x14ac:dyDescent="0.3">
      <c r="I4594" s="1"/>
      <c r="S4594" s="1"/>
    </row>
    <row r="4595" spans="9:19" x14ac:dyDescent="0.3">
      <c r="I4595" s="1"/>
      <c r="S4595" s="1"/>
    </row>
    <row r="4596" spans="9:19" x14ac:dyDescent="0.3">
      <c r="I4596" s="1"/>
      <c r="S4596" s="1"/>
    </row>
    <row r="4597" spans="9:19" x14ac:dyDescent="0.3">
      <c r="I4597" s="1"/>
      <c r="S4597" s="1"/>
    </row>
    <row r="4598" spans="9:19" x14ac:dyDescent="0.3">
      <c r="I4598" s="1"/>
      <c r="S4598" s="1"/>
    </row>
    <row r="4599" spans="9:19" x14ac:dyDescent="0.3">
      <c r="I4599" s="1"/>
      <c r="S4599" s="1"/>
    </row>
    <row r="4600" spans="9:19" x14ac:dyDescent="0.3">
      <c r="I4600" s="1"/>
      <c r="S4600" s="1"/>
    </row>
    <row r="4601" spans="9:19" x14ac:dyDescent="0.3">
      <c r="I4601" s="1"/>
      <c r="S4601" s="1"/>
    </row>
    <row r="4602" spans="9:19" x14ac:dyDescent="0.3">
      <c r="I4602" s="1"/>
      <c r="S4602" s="1"/>
    </row>
    <row r="4603" spans="9:19" x14ac:dyDescent="0.3">
      <c r="I4603" s="1"/>
      <c r="S4603" s="1"/>
    </row>
    <row r="4604" spans="9:19" x14ac:dyDescent="0.3">
      <c r="I4604" s="1"/>
      <c r="S4604" s="1"/>
    </row>
    <row r="4605" spans="9:19" x14ac:dyDescent="0.3">
      <c r="I4605" s="1"/>
      <c r="S4605" s="1"/>
    </row>
    <row r="4606" spans="9:19" x14ac:dyDescent="0.3">
      <c r="I4606" s="1"/>
      <c r="S4606" s="1"/>
    </row>
    <row r="4607" spans="9:19" x14ac:dyDescent="0.3">
      <c r="I4607" s="1"/>
      <c r="S4607" s="1"/>
    </row>
    <row r="4608" spans="9:19" x14ac:dyDescent="0.3">
      <c r="I4608" s="1"/>
      <c r="S4608" s="1"/>
    </row>
    <row r="4609" spans="9:19" x14ac:dyDescent="0.3">
      <c r="I4609" s="1"/>
      <c r="S4609" s="1"/>
    </row>
    <row r="4610" spans="9:19" x14ac:dyDescent="0.3">
      <c r="I4610" s="1"/>
      <c r="S4610" s="1"/>
    </row>
    <row r="4611" spans="9:19" x14ac:dyDescent="0.3">
      <c r="I4611" s="1"/>
      <c r="S4611" s="1"/>
    </row>
    <row r="4612" spans="9:19" x14ac:dyDescent="0.3">
      <c r="I4612" s="1"/>
      <c r="S4612" s="1"/>
    </row>
    <row r="4613" spans="9:19" x14ac:dyDescent="0.3">
      <c r="I4613" s="1"/>
      <c r="S4613" s="1"/>
    </row>
    <row r="4614" spans="9:19" x14ac:dyDescent="0.3">
      <c r="I4614" s="1"/>
      <c r="S4614" s="1"/>
    </row>
    <row r="4615" spans="9:19" x14ac:dyDescent="0.3">
      <c r="I4615" s="1"/>
      <c r="S4615" s="1"/>
    </row>
    <row r="4616" spans="9:19" x14ac:dyDescent="0.3">
      <c r="I4616" s="1"/>
      <c r="S4616" s="1"/>
    </row>
    <row r="4617" spans="9:19" x14ac:dyDescent="0.3">
      <c r="I4617" s="1"/>
      <c r="S4617" s="1"/>
    </row>
    <row r="4618" spans="9:19" x14ac:dyDescent="0.3">
      <c r="I4618" s="1"/>
      <c r="S4618" s="1"/>
    </row>
    <row r="4619" spans="9:19" x14ac:dyDescent="0.3">
      <c r="I4619" s="1"/>
      <c r="S4619" s="1"/>
    </row>
    <row r="4620" spans="9:19" x14ac:dyDescent="0.3">
      <c r="I4620" s="1"/>
      <c r="S4620" s="1"/>
    </row>
    <row r="4621" spans="9:19" x14ac:dyDescent="0.3">
      <c r="I4621" s="1"/>
      <c r="S4621" s="1"/>
    </row>
    <row r="4622" spans="9:19" x14ac:dyDescent="0.3">
      <c r="I4622" s="1"/>
      <c r="S4622" s="1"/>
    </row>
    <row r="4623" spans="9:19" x14ac:dyDescent="0.3">
      <c r="I4623" s="1"/>
      <c r="S4623" s="1"/>
    </row>
    <row r="4624" spans="9:19" x14ac:dyDescent="0.3">
      <c r="I4624" s="1"/>
      <c r="S4624" s="1"/>
    </row>
    <row r="4625" spans="9:19" x14ac:dyDescent="0.3">
      <c r="I4625" s="1"/>
      <c r="S4625" s="1"/>
    </row>
    <row r="4626" spans="9:19" x14ac:dyDescent="0.3">
      <c r="I4626" s="1"/>
      <c r="S4626" s="1"/>
    </row>
    <row r="4627" spans="9:19" x14ac:dyDescent="0.3">
      <c r="I4627" s="1"/>
      <c r="S4627" s="1"/>
    </row>
    <row r="4628" spans="9:19" x14ac:dyDescent="0.3">
      <c r="I4628" s="1"/>
      <c r="S4628" s="1"/>
    </row>
    <row r="4629" spans="9:19" x14ac:dyDescent="0.3">
      <c r="I4629" s="1"/>
      <c r="S4629" s="1"/>
    </row>
    <row r="4630" spans="9:19" x14ac:dyDescent="0.3">
      <c r="I4630" s="1"/>
      <c r="S4630" s="1"/>
    </row>
    <row r="4631" spans="9:19" x14ac:dyDescent="0.3">
      <c r="I4631" s="1"/>
      <c r="S4631" s="1"/>
    </row>
    <row r="4632" spans="9:19" x14ac:dyDescent="0.3">
      <c r="I4632" s="1"/>
      <c r="S4632" s="1"/>
    </row>
    <row r="4633" spans="9:19" x14ac:dyDescent="0.3">
      <c r="I4633" s="1"/>
      <c r="S4633" s="1"/>
    </row>
    <row r="4634" spans="9:19" x14ac:dyDescent="0.3">
      <c r="I4634" s="1"/>
      <c r="S4634" s="1"/>
    </row>
    <row r="4635" spans="9:19" x14ac:dyDescent="0.3">
      <c r="I4635" s="1"/>
      <c r="S4635" s="1"/>
    </row>
    <row r="4636" spans="9:19" x14ac:dyDescent="0.3">
      <c r="I4636" s="1"/>
      <c r="S4636" s="1"/>
    </row>
    <row r="4637" spans="9:19" x14ac:dyDescent="0.3">
      <c r="I4637" s="1"/>
      <c r="S4637" s="1"/>
    </row>
    <row r="4638" spans="9:19" x14ac:dyDescent="0.3">
      <c r="I4638" s="1"/>
      <c r="S4638" s="1"/>
    </row>
    <row r="4639" spans="9:19" x14ac:dyDescent="0.3">
      <c r="I4639" s="1"/>
      <c r="S4639" s="1"/>
    </row>
    <row r="4640" spans="9:19" x14ac:dyDescent="0.3">
      <c r="I4640" s="1"/>
      <c r="S4640" s="1"/>
    </row>
    <row r="4641" spans="9:19" x14ac:dyDescent="0.3">
      <c r="I4641" s="1"/>
      <c r="S4641" s="1"/>
    </row>
    <row r="4642" spans="9:19" x14ac:dyDescent="0.3">
      <c r="I4642" s="1"/>
      <c r="S4642" s="1"/>
    </row>
    <row r="4643" spans="9:19" x14ac:dyDescent="0.3">
      <c r="I4643" s="1"/>
      <c r="S4643" s="1"/>
    </row>
    <row r="4644" spans="9:19" x14ac:dyDescent="0.3">
      <c r="I4644" s="1"/>
      <c r="S4644" s="1"/>
    </row>
    <row r="4645" spans="9:19" x14ac:dyDescent="0.3">
      <c r="I4645" s="1"/>
      <c r="S4645" s="1"/>
    </row>
    <row r="4646" spans="9:19" x14ac:dyDescent="0.3">
      <c r="I4646" s="1"/>
      <c r="S4646" s="1"/>
    </row>
    <row r="4647" spans="9:19" x14ac:dyDescent="0.3">
      <c r="I4647" s="1"/>
      <c r="S4647" s="1"/>
    </row>
    <row r="4648" spans="9:19" x14ac:dyDescent="0.3">
      <c r="I4648" s="1"/>
      <c r="S4648" s="1"/>
    </row>
    <row r="4649" spans="9:19" x14ac:dyDescent="0.3">
      <c r="I4649" s="1"/>
      <c r="S4649" s="1"/>
    </row>
    <row r="4650" spans="9:19" x14ac:dyDescent="0.3">
      <c r="I4650" s="1"/>
      <c r="S4650" s="1"/>
    </row>
    <row r="4651" spans="9:19" x14ac:dyDescent="0.3">
      <c r="I4651" s="1"/>
      <c r="S4651" s="1"/>
    </row>
    <row r="4652" spans="9:19" x14ac:dyDescent="0.3">
      <c r="I4652" s="1"/>
      <c r="S4652" s="1"/>
    </row>
    <row r="4653" spans="9:19" x14ac:dyDescent="0.3">
      <c r="I4653" s="1"/>
      <c r="S4653" s="1"/>
    </row>
    <row r="4654" spans="9:19" x14ac:dyDescent="0.3">
      <c r="I4654" s="1"/>
      <c r="S4654" s="1"/>
    </row>
    <row r="4655" spans="9:19" x14ac:dyDescent="0.3">
      <c r="I4655" s="1"/>
      <c r="S4655" s="1"/>
    </row>
    <row r="4656" spans="9:19" x14ac:dyDescent="0.3">
      <c r="I4656" s="1"/>
      <c r="S4656" s="1"/>
    </row>
    <row r="4657" spans="9:19" x14ac:dyDescent="0.3">
      <c r="I4657" s="1"/>
      <c r="S4657" s="1"/>
    </row>
    <row r="4658" spans="9:19" x14ac:dyDescent="0.3">
      <c r="I4658" s="1"/>
      <c r="S4658" s="1"/>
    </row>
    <row r="4659" spans="9:19" x14ac:dyDescent="0.3">
      <c r="I4659" s="1"/>
      <c r="S4659" s="1"/>
    </row>
    <row r="4660" spans="9:19" x14ac:dyDescent="0.3">
      <c r="I4660" s="1"/>
      <c r="S4660" s="1"/>
    </row>
    <row r="4661" spans="9:19" x14ac:dyDescent="0.3">
      <c r="I4661" s="1"/>
      <c r="S4661" s="1"/>
    </row>
    <row r="4662" spans="9:19" x14ac:dyDescent="0.3">
      <c r="I4662" s="1"/>
      <c r="S4662" s="1"/>
    </row>
    <row r="4663" spans="9:19" x14ac:dyDescent="0.3">
      <c r="I4663" s="1"/>
      <c r="S4663" s="1"/>
    </row>
    <row r="4664" spans="9:19" x14ac:dyDescent="0.3">
      <c r="I4664" s="1"/>
      <c r="S4664" s="1"/>
    </row>
    <row r="4665" spans="9:19" x14ac:dyDescent="0.3">
      <c r="I4665" s="1"/>
      <c r="S4665" s="1"/>
    </row>
    <row r="4666" spans="9:19" x14ac:dyDescent="0.3">
      <c r="I4666" s="1"/>
      <c r="S4666" s="1"/>
    </row>
    <row r="4667" spans="9:19" x14ac:dyDescent="0.3">
      <c r="I4667" s="1"/>
      <c r="S4667" s="1"/>
    </row>
    <row r="4668" spans="9:19" x14ac:dyDescent="0.3">
      <c r="I4668" s="1"/>
      <c r="S4668" s="1"/>
    </row>
    <row r="4669" spans="9:19" x14ac:dyDescent="0.3">
      <c r="I4669" s="1"/>
      <c r="S4669" s="1"/>
    </row>
    <row r="4670" spans="9:19" x14ac:dyDescent="0.3">
      <c r="I4670" s="1"/>
      <c r="S4670" s="1"/>
    </row>
    <row r="4671" spans="9:19" x14ac:dyDescent="0.3">
      <c r="I4671" s="1"/>
      <c r="S4671" s="1"/>
    </row>
    <row r="4672" spans="9:19" x14ac:dyDescent="0.3">
      <c r="I4672" s="1"/>
      <c r="S4672" s="1"/>
    </row>
    <row r="4673" spans="9:19" x14ac:dyDescent="0.3">
      <c r="I4673" s="1"/>
      <c r="S4673" s="1"/>
    </row>
    <row r="4674" spans="9:19" x14ac:dyDescent="0.3">
      <c r="I4674" s="1"/>
      <c r="S4674" s="1"/>
    </row>
    <row r="4675" spans="9:19" x14ac:dyDescent="0.3">
      <c r="I4675" s="1"/>
      <c r="S4675" s="1"/>
    </row>
    <row r="4676" spans="9:19" x14ac:dyDescent="0.3">
      <c r="I4676" s="1"/>
      <c r="S4676" s="1"/>
    </row>
    <row r="4677" spans="9:19" x14ac:dyDescent="0.3">
      <c r="I4677" s="1"/>
      <c r="S4677" s="1"/>
    </row>
    <row r="4678" spans="9:19" x14ac:dyDescent="0.3">
      <c r="I4678" s="1"/>
      <c r="S4678" s="1"/>
    </row>
    <row r="4679" spans="9:19" x14ac:dyDescent="0.3">
      <c r="I4679" s="1"/>
      <c r="S4679" s="1"/>
    </row>
    <row r="4680" spans="9:19" x14ac:dyDescent="0.3">
      <c r="I4680" s="1"/>
      <c r="S4680" s="1"/>
    </row>
    <row r="4681" spans="9:19" x14ac:dyDescent="0.3">
      <c r="I4681" s="1"/>
      <c r="S4681" s="1"/>
    </row>
    <row r="4682" spans="9:19" x14ac:dyDescent="0.3">
      <c r="I4682" s="1"/>
      <c r="S4682" s="1"/>
    </row>
    <row r="4683" spans="9:19" x14ac:dyDescent="0.3">
      <c r="I4683" s="1"/>
      <c r="S4683" s="1"/>
    </row>
    <row r="4684" spans="9:19" x14ac:dyDescent="0.3">
      <c r="I4684" s="1"/>
      <c r="S4684" s="1"/>
    </row>
    <row r="4685" spans="9:19" x14ac:dyDescent="0.3">
      <c r="I4685" s="1"/>
      <c r="S4685" s="1"/>
    </row>
    <row r="4686" spans="9:19" x14ac:dyDescent="0.3">
      <c r="I4686" s="1"/>
      <c r="S4686" s="1"/>
    </row>
    <row r="4687" spans="9:19" x14ac:dyDescent="0.3">
      <c r="I4687" s="1"/>
      <c r="S4687" s="1"/>
    </row>
    <row r="4688" spans="9:19" x14ac:dyDescent="0.3">
      <c r="I4688" s="1"/>
      <c r="S4688" s="1"/>
    </row>
    <row r="4689" spans="9:19" x14ac:dyDescent="0.3">
      <c r="I4689" s="1"/>
      <c r="S4689" s="1"/>
    </row>
    <row r="4690" spans="9:19" x14ac:dyDescent="0.3">
      <c r="I4690" s="1"/>
      <c r="S4690" s="1"/>
    </row>
    <row r="4691" spans="9:19" x14ac:dyDescent="0.3">
      <c r="I4691" s="1"/>
      <c r="S4691" s="1"/>
    </row>
    <row r="4692" spans="9:19" x14ac:dyDescent="0.3">
      <c r="I4692" s="1"/>
      <c r="S4692" s="1"/>
    </row>
    <row r="4693" spans="9:19" x14ac:dyDescent="0.3">
      <c r="I4693" s="1"/>
      <c r="S4693" s="1"/>
    </row>
    <row r="4694" spans="9:19" x14ac:dyDescent="0.3">
      <c r="I4694" s="1"/>
      <c r="S4694" s="1"/>
    </row>
    <row r="4695" spans="9:19" x14ac:dyDescent="0.3">
      <c r="I4695" s="1"/>
      <c r="S4695" s="1"/>
    </row>
    <row r="4696" spans="9:19" x14ac:dyDescent="0.3">
      <c r="I4696" s="1"/>
      <c r="S4696" s="1"/>
    </row>
    <row r="4697" spans="9:19" x14ac:dyDescent="0.3">
      <c r="I4697" s="1"/>
      <c r="S4697" s="1"/>
    </row>
    <row r="4698" spans="9:19" x14ac:dyDescent="0.3">
      <c r="I4698" s="1"/>
      <c r="S4698" s="1"/>
    </row>
    <row r="4699" spans="9:19" x14ac:dyDescent="0.3">
      <c r="I4699" s="1"/>
      <c r="S4699" s="1"/>
    </row>
    <row r="4700" spans="9:19" x14ac:dyDescent="0.3">
      <c r="I4700" s="1"/>
      <c r="S4700" s="1"/>
    </row>
    <row r="4701" spans="9:19" x14ac:dyDescent="0.3">
      <c r="I4701" s="1"/>
      <c r="S4701" s="1"/>
    </row>
    <row r="4702" spans="9:19" x14ac:dyDescent="0.3">
      <c r="I4702" s="1"/>
      <c r="S4702" s="1"/>
    </row>
    <row r="4703" spans="9:19" x14ac:dyDescent="0.3">
      <c r="I4703" s="1"/>
      <c r="S4703" s="1"/>
    </row>
    <row r="4704" spans="9:19" x14ac:dyDescent="0.3">
      <c r="I4704" s="1"/>
      <c r="S4704" s="1"/>
    </row>
    <row r="4705" spans="9:19" x14ac:dyDescent="0.3">
      <c r="I4705" s="1"/>
      <c r="S4705" s="1"/>
    </row>
    <row r="4706" spans="9:19" x14ac:dyDescent="0.3">
      <c r="I4706" s="1"/>
      <c r="S4706" s="1"/>
    </row>
    <row r="4707" spans="9:19" x14ac:dyDescent="0.3">
      <c r="I4707" s="1"/>
      <c r="S4707" s="1"/>
    </row>
    <row r="4708" spans="9:19" x14ac:dyDescent="0.3">
      <c r="I4708" s="1"/>
      <c r="S4708" s="1"/>
    </row>
    <row r="4709" spans="9:19" x14ac:dyDescent="0.3">
      <c r="I4709" s="1"/>
      <c r="S4709" s="1"/>
    </row>
    <row r="4710" spans="9:19" x14ac:dyDescent="0.3">
      <c r="I4710" s="1"/>
      <c r="S4710" s="1"/>
    </row>
    <row r="4711" spans="9:19" x14ac:dyDescent="0.3">
      <c r="I4711" s="1"/>
      <c r="S4711" s="1"/>
    </row>
    <row r="4712" spans="9:19" x14ac:dyDescent="0.3">
      <c r="I4712" s="1"/>
      <c r="S4712" s="1"/>
    </row>
    <row r="4713" spans="9:19" x14ac:dyDescent="0.3">
      <c r="I4713" s="1"/>
      <c r="S4713" s="1"/>
    </row>
    <row r="4714" spans="9:19" x14ac:dyDescent="0.3">
      <c r="I4714" s="1"/>
      <c r="S4714" s="1"/>
    </row>
    <row r="4715" spans="9:19" x14ac:dyDescent="0.3">
      <c r="I4715" s="1"/>
      <c r="S4715" s="1"/>
    </row>
    <row r="4716" spans="9:19" x14ac:dyDescent="0.3">
      <c r="I4716" s="1"/>
      <c r="S4716" s="1"/>
    </row>
    <row r="4717" spans="9:19" x14ac:dyDescent="0.3">
      <c r="I4717" s="1"/>
      <c r="S4717" s="1"/>
    </row>
    <row r="4718" spans="9:19" x14ac:dyDescent="0.3">
      <c r="I4718" s="1"/>
      <c r="S4718" s="1"/>
    </row>
    <row r="4719" spans="9:19" x14ac:dyDescent="0.3">
      <c r="I4719" s="1"/>
      <c r="S4719" s="1"/>
    </row>
    <row r="4720" spans="9:19" x14ac:dyDescent="0.3">
      <c r="I4720" s="1"/>
      <c r="S4720" s="1"/>
    </row>
    <row r="4721" spans="9:19" x14ac:dyDescent="0.3">
      <c r="I4721" s="1"/>
      <c r="S4721" s="1"/>
    </row>
    <row r="4722" spans="9:19" x14ac:dyDescent="0.3">
      <c r="I4722" s="1"/>
      <c r="S4722" s="1"/>
    </row>
    <row r="4723" spans="9:19" x14ac:dyDescent="0.3">
      <c r="I4723" s="1"/>
      <c r="S4723" s="1"/>
    </row>
    <row r="4724" spans="9:19" x14ac:dyDescent="0.3">
      <c r="I4724" s="1"/>
      <c r="S4724" s="1"/>
    </row>
    <row r="4725" spans="9:19" x14ac:dyDescent="0.3">
      <c r="I4725" s="1"/>
      <c r="S4725" s="1"/>
    </row>
    <row r="4726" spans="9:19" x14ac:dyDescent="0.3">
      <c r="I4726" s="1"/>
      <c r="S4726" s="1"/>
    </row>
    <row r="4727" spans="9:19" x14ac:dyDescent="0.3">
      <c r="I4727" s="1"/>
      <c r="S4727" s="1"/>
    </row>
    <row r="4728" spans="9:19" x14ac:dyDescent="0.3">
      <c r="I4728" s="1"/>
      <c r="S4728" s="1"/>
    </row>
    <row r="4729" spans="9:19" x14ac:dyDescent="0.3">
      <c r="I4729" s="1"/>
      <c r="S4729" s="1"/>
    </row>
    <row r="4730" spans="9:19" x14ac:dyDescent="0.3">
      <c r="I4730" s="1"/>
      <c r="S4730" s="1"/>
    </row>
    <row r="4731" spans="9:19" x14ac:dyDescent="0.3">
      <c r="I4731" s="1"/>
      <c r="S4731" s="1"/>
    </row>
    <row r="4732" spans="9:19" x14ac:dyDescent="0.3">
      <c r="I4732" s="1"/>
      <c r="S4732" s="1"/>
    </row>
    <row r="4733" spans="9:19" x14ac:dyDescent="0.3">
      <c r="I4733" s="1"/>
      <c r="S4733" s="1"/>
    </row>
    <row r="4734" spans="9:19" x14ac:dyDescent="0.3">
      <c r="I4734" s="1"/>
      <c r="S4734" s="1"/>
    </row>
    <row r="4735" spans="9:19" x14ac:dyDescent="0.3">
      <c r="I4735" s="1"/>
      <c r="S4735" s="1"/>
    </row>
    <row r="4736" spans="9:19" x14ac:dyDescent="0.3">
      <c r="I4736" s="1"/>
      <c r="S4736" s="1"/>
    </row>
    <row r="4737" spans="9:19" x14ac:dyDescent="0.3">
      <c r="I4737" s="1"/>
      <c r="S4737" s="1"/>
    </row>
    <row r="4738" spans="9:19" x14ac:dyDescent="0.3">
      <c r="I4738" s="1"/>
      <c r="S4738" s="1"/>
    </row>
    <row r="4739" spans="9:19" x14ac:dyDescent="0.3">
      <c r="I4739" s="1"/>
      <c r="S4739" s="1"/>
    </row>
    <row r="4740" spans="9:19" x14ac:dyDescent="0.3">
      <c r="I4740" s="1"/>
      <c r="S4740" s="1"/>
    </row>
    <row r="4741" spans="9:19" x14ac:dyDescent="0.3">
      <c r="I4741" s="1"/>
      <c r="S4741" s="1"/>
    </row>
    <row r="4742" spans="9:19" x14ac:dyDescent="0.3">
      <c r="I4742" s="1"/>
      <c r="S4742" s="1"/>
    </row>
    <row r="4743" spans="9:19" x14ac:dyDescent="0.3">
      <c r="I4743" s="1"/>
      <c r="S4743" s="1"/>
    </row>
    <row r="4744" spans="9:19" x14ac:dyDescent="0.3">
      <c r="I4744" s="1"/>
      <c r="S4744" s="1"/>
    </row>
    <row r="4745" spans="9:19" x14ac:dyDescent="0.3">
      <c r="I4745" s="1"/>
      <c r="S4745" s="1"/>
    </row>
    <row r="4746" spans="9:19" x14ac:dyDescent="0.3">
      <c r="I4746" s="1"/>
      <c r="S4746" s="1"/>
    </row>
    <row r="4747" spans="9:19" x14ac:dyDescent="0.3">
      <c r="I4747" s="1"/>
      <c r="S4747" s="1"/>
    </row>
    <row r="4748" spans="9:19" x14ac:dyDescent="0.3">
      <c r="I4748" s="1"/>
      <c r="S4748" s="1"/>
    </row>
    <row r="4749" spans="9:19" x14ac:dyDescent="0.3">
      <c r="I4749" s="1"/>
      <c r="S4749" s="1"/>
    </row>
    <row r="4750" spans="9:19" x14ac:dyDescent="0.3">
      <c r="I4750" s="1"/>
      <c r="S4750" s="1"/>
    </row>
    <row r="4751" spans="9:19" x14ac:dyDescent="0.3">
      <c r="I4751" s="1"/>
      <c r="S4751" s="1"/>
    </row>
    <row r="4752" spans="9:19" x14ac:dyDescent="0.3">
      <c r="I4752" s="1"/>
      <c r="S4752" s="1"/>
    </row>
    <row r="4753" spans="9:19" x14ac:dyDescent="0.3">
      <c r="I4753" s="1"/>
      <c r="S4753" s="1"/>
    </row>
    <row r="4754" spans="9:19" x14ac:dyDescent="0.3">
      <c r="I4754" s="1"/>
      <c r="S4754" s="1"/>
    </row>
    <row r="4755" spans="9:19" x14ac:dyDescent="0.3">
      <c r="I4755" s="1"/>
      <c r="S4755" s="1"/>
    </row>
    <row r="4756" spans="9:19" x14ac:dyDescent="0.3">
      <c r="I4756" s="1"/>
      <c r="S4756" s="1"/>
    </row>
    <row r="4757" spans="9:19" x14ac:dyDescent="0.3">
      <c r="I4757" s="1"/>
      <c r="S4757" s="1"/>
    </row>
    <row r="4758" spans="9:19" x14ac:dyDescent="0.3">
      <c r="I4758" s="1"/>
      <c r="S4758" s="1"/>
    </row>
    <row r="4759" spans="9:19" x14ac:dyDescent="0.3">
      <c r="I4759" s="1"/>
      <c r="S4759" s="1"/>
    </row>
    <row r="4760" spans="9:19" x14ac:dyDescent="0.3">
      <c r="I4760" s="1"/>
      <c r="S4760" s="1"/>
    </row>
    <row r="4761" spans="9:19" x14ac:dyDescent="0.3">
      <c r="I4761" s="1"/>
      <c r="S4761" s="1"/>
    </row>
    <row r="4762" spans="9:19" x14ac:dyDescent="0.3">
      <c r="I4762" s="1"/>
      <c r="S4762" s="1"/>
    </row>
    <row r="4763" spans="9:19" x14ac:dyDescent="0.3">
      <c r="I4763" s="1"/>
      <c r="S4763" s="1"/>
    </row>
    <row r="4764" spans="9:19" x14ac:dyDescent="0.3">
      <c r="I4764" s="1"/>
      <c r="S4764" s="1"/>
    </row>
    <row r="4765" spans="9:19" x14ac:dyDescent="0.3">
      <c r="I4765" s="1"/>
      <c r="S4765" s="1"/>
    </row>
    <row r="4766" spans="9:19" x14ac:dyDescent="0.3">
      <c r="I4766" s="1"/>
      <c r="S4766" s="1"/>
    </row>
    <row r="4767" spans="9:19" x14ac:dyDescent="0.3">
      <c r="I4767" s="1"/>
      <c r="S4767" s="1"/>
    </row>
    <row r="4768" spans="9:19" x14ac:dyDescent="0.3">
      <c r="I4768" s="1"/>
      <c r="S4768" s="1"/>
    </row>
    <row r="4769" spans="9:19" x14ac:dyDescent="0.3">
      <c r="I4769" s="1"/>
      <c r="S4769" s="1"/>
    </row>
    <row r="4770" spans="9:19" x14ac:dyDescent="0.3">
      <c r="I4770" s="1"/>
      <c r="S4770" s="1"/>
    </row>
    <row r="4771" spans="9:19" x14ac:dyDescent="0.3">
      <c r="I4771" s="1"/>
      <c r="S4771" s="1"/>
    </row>
    <row r="4772" spans="9:19" x14ac:dyDescent="0.3">
      <c r="I4772" s="1"/>
      <c r="S4772" s="1"/>
    </row>
    <row r="4773" spans="9:19" x14ac:dyDescent="0.3">
      <c r="I4773" s="1"/>
      <c r="S4773" s="1"/>
    </row>
    <row r="4774" spans="9:19" x14ac:dyDescent="0.3">
      <c r="I4774" s="1"/>
      <c r="S4774" s="1"/>
    </row>
    <row r="4775" spans="9:19" x14ac:dyDescent="0.3">
      <c r="I4775" s="1"/>
      <c r="S4775" s="1"/>
    </row>
    <row r="4776" spans="9:19" x14ac:dyDescent="0.3">
      <c r="I4776" s="1"/>
      <c r="S4776" s="1"/>
    </row>
    <row r="4777" spans="9:19" x14ac:dyDescent="0.3">
      <c r="I4777" s="1"/>
      <c r="S4777" s="1"/>
    </row>
    <row r="4778" spans="9:19" x14ac:dyDescent="0.3">
      <c r="I4778" s="1"/>
      <c r="S4778" s="1"/>
    </row>
    <row r="4779" spans="9:19" x14ac:dyDescent="0.3">
      <c r="I4779" s="1"/>
      <c r="S4779" s="1"/>
    </row>
    <row r="4780" spans="9:19" x14ac:dyDescent="0.3">
      <c r="I4780" s="1"/>
      <c r="S4780" s="1"/>
    </row>
    <row r="4781" spans="9:19" x14ac:dyDescent="0.3">
      <c r="I4781" s="1"/>
      <c r="S4781" s="1"/>
    </row>
    <row r="4782" spans="9:19" x14ac:dyDescent="0.3">
      <c r="I4782" s="1"/>
      <c r="S4782" s="1"/>
    </row>
    <row r="4783" spans="9:19" x14ac:dyDescent="0.3">
      <c r="I4783" s="1"/>
      <c r="S4783" s="1"/>
    </row>
    <row r="4784" spans="9:19" x14ac:dyDescent="0.3">
      <c r="I4784" s="1"/>
      <c r="S4784" s="1"/>
    </row>
    <row r="4785" spans="9:19" x14ac:dyDescent="0.3">
      <c r="I4785" s="1"/>
      <c r="S4785" s="1"/>
    </row>
    <row r="4786" spans="9:19" x14ac:dyDescent="0.3">
      <c r="I4786" s="1"/>
      <c r="S4786" s="1"/>
    </row>
    <row r="4787" spans="9:19" x14ac:dyDescent="0.3">
      <c r="I4787" s="1"/>
      <c r="S4787" s="1"/>
    </row>
    <row r="4788" spans="9:19" x14ac:dyDescent="0.3">
      <c r="I4788" s="1"/>
      <c r="S4788" s="1"/>
    </row>
    <row r="4789" spans="9:19" x14ac:dyDescent="0.3">
      <c r="I4789" s="1"/>
      <c r="S4789" s="1"/>
    </row>
    <row r="4790" spans="9:19" x14ac:dyDescent="0.3">
      <c r="I4790" s="1"/>
      <c r="S4790" s="1"/>
    </row>
    <row r="4791" spans="9:19" x14ac:dyDescent="0.3">
      <c r="I4791" s="1"/>
      <c r="S4791" s="1"/>
    </row>
    <row r="4792" spans="9:19" x14ac:dyDescent="0.3">
      <c r="I4792" s="1"/>
      <c r="S4792" s="1"/>
    </row>
    <row r="4793" spans="9:19" x14ac:dyDescent="0.3">
      <c r="I4793" s="1"/>
      <c r="S4793" s="1"/>
    </row>
    <row r="4794" spans="9:19" x14ac:dyDescent="0.3">
      <c r="I4794" s="1"/>
      <c r="S4794" s="1"/>
    </row>
    <row r="4795" spans="9:19" x14ac:dyDescent="0.3">
      <c r="I4795" s="1"/>
      <c r="S4795" s="1"/>
    </row>
    <row r="4796" spans="9:19" x14ac:dyDescent="0.3">
      <c r="I4796" s="1"/>
      <c r="S4796" s="1"/>
    </row>
    <row r="4797" spans="9:19" x14ac:dyDescent="0.3">
      <c r="I4797" s="1"/>
      <c r="S4797" s="1"/>
    </row>
    <row r="4798" spans="9:19" x14ac:dyDescent="0.3">
      <c r="I4798" s="1"/>
      <c r="S4798" s="1"/>
    </row>
    <row r="4799" spans="9:19" x14ac:dyDescent="0.3">
      <c r="I4799" s="1"/>
      <c r="S4799" s="1"/>
    </row>
    <row r="4800" spans="9:19" x14ac:dyDescent="0.3">
      <c r="I4800" s="1"/>
      <c r="S4800" s="1"/>
    </row>
    <row r="4801" spans="9:19" x14ac:dyDescent="0.3">
      <c r="I4801" s="1"/>
      <c r="S4801" s="1"/>
    </row>
    <row r="4802" spans="9:19" x14ac:dyDescent="0.3">
      <c r="I4802" s="1"/>
      <c r="S4802" s="1"/>
    </row>
    <row r="4803" spans="9:19" x14ac:dyDescent="0.3">
      <c r="I4803" s="1"/>
      <c r="S4803" s="1"/>
    </row>
    <row r="4804" spans="9:19" x14ac:dyDescent="0.3">
      <c r="I4804" s="1"/>
      <c r="S4804" s="1"/>
    </row>
    <row r="4805" spans="9:19" x14ac:dyDescent="0.3">
      <c r="I4805" s="1"/>
      <c r="S4805" s="1"/>
    </row>
    <row r="4806" spans="9:19" x14ac:dyDescent="0.3">
      <c r="I4806" s="1"/>
      <c r="S4806" s="1"/>
    </row>
    <row r="4807" spans="9:19" x14ac:dyDescent="0.3">
      <c r="I4807" s="1"/>
      <c r="S4807" s="1"/>
    </row>
    <row r="4808" spans="9:19" x14ac:dyDescent="0.3">
      <c r="I4808" s="1"/>
      <c r="S4808" s="1"/>
    </row>
    <row r="4809" spans="9:19" x14ac:dyDescent="0.3">
      <c r="I4809" s="1"/>
      <c r="S4809" s="1"/>
    </row>
    <row r="4810" spans="9:19" x14ac:dyDescent="0.3">
      <c r="I4810" s="1"/>
      <c r="S4810" s="1"/>
    </row>
    <row r="4811" spans="9:19" x14ac:dyDescent="0.3">
      <c r="I4811" s="1"/>
      <c r="S4811" s="1"/>
    </row>
    <row r="4812" spans="9:19" x14ac:dyDescent="0.3">
      <c r="I4812" s="1"/>
      <c r="S4812" s="1"/>
    </row>
    <row r="4813" spans="9:19" x14ac:dyDescent="0.3">
      <c r="I4813" s="1"/>
      <c r="S4813" s="1"/>
    </row>
    <row r="4814" spans="9:19" x14ac:dyDescent="0.3">
      <c r="I4814" s="1"/>
      <c r="S4814" s="1"/>
    </row>
    <row r="4815" spans="9:19" x14ac:dyDescent="0.3">
      <c r="I4815" s="1"/>
      <c r="S4815" s="1"/>
    </row>
    <row r="4816" spans="9:19" x14ac:dyDescent="0.3">
      <c r="I4816" s="1"/>
      <c r="S4816" s="1"/>
    </row>
    <row r="4817" spans="9:19" x14ac:dyDescent="0.3">
      <c r="I4817" s="1"/>
      <c r="S4817" s="1"/>
    </row>
    <row r="4818" spans="9:19" x14ac:dyDescent="0.3">
      <c r="I4818" s="1"/>
      <c r="S4818" s="1"/>
    </row>
    <row r="4819" spans="9:19" x14ac:dyDescent="0.3">
      <c r="I4819" s="1"/>
      <c r="S4819" s="1"/>
    </row>
    <row r="4820" spans="9:19" x14ac:dyDescent="0.3">
      <c r="I4820" s="1"/>
      <c r="S4820" s="1"/>
    </row>
    <row r="4821" spans="9:19" x14ac:dyDescent="0.3">
      <c r="I4821" s="1"/>
      <c r="S4821" s="1"/>
    </row>
    <row r="4822" spans="9:19" x14ac:dyDescent="0.3">
      <c r="I4822" s="1"/>
      <c r="S4822" s="1"/>
    </row>
    <row r="4823" spans="9:19" x14ac:dyDescent="0.3">
      <c r="I4823" s="1"/>
      <c r="S4823" s="1"/>
    </row>
    <row r="4824" spans="9:19" x14ac:dyDescent="0.3">
      <c r="I4824" s="1"/>
      <c r="S4824" s="1"/>
    </row>
    <row r="4825" spans="9:19" x14ac:dyDescent="0.3">
      <c r="I4825" s="1"/>
      <c r="S4825" s="1"/>
    </row>
    <row r="4826" spans="9:19" x14ac:dyDescent="0.3">
      <c r="I4826" s="1"/>
      <c r="S4826" s="1"/>
    </row>
    <row r="4827" spans="9:19" x14ac:dyDescent="0.3">
      <c r="I4827" s="1"/>
      <c r="S4827" s="1"/>
    </row>
    <row r="4828" spans="9:19" x14ac:dyDescent="0.3">
      <c r="I4828" s="1"/>
      <c r="S4828" s="1"/>
    </row>
    <row r="4829" spans="9:19" x14ac:dyDescent="0.3">
      <c r="I4829" s="1"/>
      <c r="S4829" s="1"/>
    </row>
    <row r="4830" spans="9:19" x14ac:dyDescent="0.3">
      <c r="I4830" s="1"/>
      <c r="S4830" s="1"/>
    </row>
    <row r="4831" spans="9:19" x14ac:dyDescent="0.3">
      <c r="I4831" s="1"/>
      <c r="S4831" s="1"/>
    </row>
    <row r="4832" spans="9:19" x14ac:dyDescent="0.3">
      <c r="I4832" s="1"/>
      <c r="S4832" s="1"/>
    </row>
    <row r="4833" spans="9:19" x14ac:dyDescent="0.3">
      <c r="I4833" s="1"/>
      <c r="S4833" s="1"/>
    </row>
    <row r="4834" spans="9:19" x14ac:dyDescent="0.3">
      <c r="I4834" s="1"/>
      <c r="S4834" s="1"/>
    </row>
    <row r="4835" spans="9:19" x14ac:dyDescent="0.3">
      <c r="I4835" s="1"/>
      <c r="S4835" s="1"/>
    </row>
    <row r="4836" spans="9:19" x14ac:dyDescent="0.3">
      <c r="I4836" s="1"/>
      <c r="S4836" s="1"/>
    </row>
    <row r="4837" spans="9:19" x14ac:dyDescent="0.3">
      <c r="I4837" s="1"/>
      <c r="S4837" s="1"/>
    </row>
    <row r="4838" spans="9:19" x14ac:dyDescent="0.3">
      <c r="I4838" s="1"/>
      <c r="S4838" s="1"/>
    </row>
    <row r="4839" spans="9:19" x14ac:dyDescent="0.3">
      <c r="I4839" s="1"/>
      <c r="S4839" s="1"/>
    </row>
    <row r="4840" spans="9:19" x14ac:dyDescent="0.3">
      <c r="I4840" s="1"/>
      <c r="S4840" s="1"/>
    </row>
    <row r="4841" spans="9:19" x14ac:dyDescent="0.3">
      <c r="I4841" s="1"/>
      <c r="S4841" s="1"/>
    </row>
    <row r="4842" spans="9:19" x14ac:dyDescent="0.3">
      <c r="I4842" s="1"/>
      <c r="S4842" s="1"/>
    </row>
    <row r="4843" spans="9:19" x14ac:dyDescent="0.3">
      <c r="I4843" s="1"/>
      <c r="S4843" s="1"/>
    </row>
    <row r="4844" spans="9:19" x14ac:dyDescent="0.3">
      <c r="I4844" s="1"/>
      <c r="S4844" s="1"/>
    </row>
    <row r="4845" spans="9:19" x14ac:dyDescent="0.3">
      <c r="I4845" s="1"/>
      <c r="S4845" s="1"/>
    </row>
    <row r="4846" spans="9:19" x14ac:dyDescent="0.3">
      <c r="I4846" s="1"/>
      <c r="S4846" s="1"/>
    </row>
    <row r="4847" spans="9:19" x14ac:dyDescent="0.3">
      <c r="I4847" s="1"/>
      <c r="S4847" s="1"/>
    </row>
    <row r="4848" spans="9:19" x14ac:dyDescent="0.3">
      <c r="I4848" s="1"/>
      <c r="S4848" s="1"/>
    </row>
    <row r="4849" spans="9:19" x14ac:dyDescent="0.3">
      <c r="I4849" s="1"/>
      <c r="S4849" s="1"/>
    </row>
    <row r="4850" spans="9:19" x14ac:dyDescent="0.3">
      <c r="I4850" s="1"/>
      <c r="S4850" s="1"/>
    </row>
    <row r="4851" spans="9:19" x14ac:dyDescent="0.3">
      <c r="I4851" s="1"/>
      <c r="S4851" s="1"/>
    </row>
    <row r="4852" spans="9:19" x14ac:dyDescent="0.3">
      <c r="I4852" s="1"/>
      <c r="S4852" s="1"/>
    </row>
    <row r="4853" spans="9:19" x14ac:dyDescent="0.3">
      <c r="I4853" s="1"/>
      <c r="S4853" s="1"/>
    </row>
    <row r="4854" spans="9:19" x14ac:dyDescent="0.3">
      <c r="I4854" s="1"/>
      <c r="S4854" s="1"/>
    </row>
    <row r="4855" spans="9:19" x14ac:dyDescent="0.3">
      <c r="I4855" s="1"/>
      <c r="S4855" s="1"/>
    </row>
    <row r="4856" spans="9:19" x14ac:dyDescent="0.3">
      <c r="I4856" s="1"/>
      <c r="S4856" s="1"/>
    </row>
    <row r="4857" spans="9:19" x14ac:dyDescent="0.3">
      <c r="I4857" s="1"/>
      <c r="S4857" s="1"/>
    </row>
    <row r="4858" spans="9:19" x14ac:dyDescent="0.3">
      <c r="I4858" s="1"/>
      <c r="S4858" s="1"/>
    </row>
    <row r="4859" spans="9:19" x14ac:dyDescent="0.3">
      <c r="I4859" s="1"/>
      <c r="S4859" s="1"/>
    </row>
    <row r="4860" spans="9:19" x14ac:dyDescent="0.3">
      <c r="I4860" s="1"/>
      <c r="S4860" s="1"/>
    </row>
    <row r="4861" spans="9:19" x14ac:dyDescent="0.3">
      <c r="I4861" s="1"/>
      <c r="S4861" s="1"/>
    </row>
    <row r="4862" spans="9:19" x14ac:dyDescent="0.3">
      <c r="I4862" s="1"/>
      <c r="S4862" s="1"/>
    </row>
    <row r="4863" spans="9:19" x14ac:dyDescent="0.3">
      <c r="I4863" s="1"/>
      <c r="S4863" s="1"/>
    </row>
    <row r="4864" spans="9:19" x14ac:dyDescent="0.3">
      <c r="I4864" s="1"/>
      <c r="S4864" s="1"/>
    </row>
    <row r="4865" spans="9:19" x14ac:dyDescent="0.3">
      <c r="I4865" s="1"/>
      <c r="S4865" s="1"/>
    </row>
    <row r="4866" spans="9:19" x14ac:dyDescent="0.3">
      <c r="I4866" s="1"/>
      <c r="S4866" s="1"/>
    </row>
    <row r="4867" spans="9:19" x14ac:dyDescent="0.3">
      <c r="I4867" s="1"/>
      <c r="S4867" s="1"/>
    </row>
    <row r="4868" spans="9:19" x14ac:dyDescent="0.3">
      <c r="I4868" s="1"/>
      <c r="S4868" s="1"/>
    </row>
    <row r="4869" spans="9:19" x14ac:dyDescent="0.3">
      <c r="I4869" s="1"/>
      <c r="S4869" s="1"/>
    </row>
    <row r="4870" spans="9:19" x14ac:dyDescent="0.3">
      <c r="I4870" s="1"/>
      <c r="S4870" s="1"/>
    </row>
    <row r="4871" spans="9:19" x14ac:dyDescent="0.3">
      <c r="I4871" s="1"/>
      <c r="S4871" s="1"/>
    </row>
    <row r="4872" spans="9:19" x14ac:dyDescent="0.3">
      <c r="I4872" s="1"/>
      <c r="S4872" s="1"/>
    </row>
    <row r="4873" spans="9:19" x14ac:dyDescent="0.3">
      <c r="I4873" s="1"/>
      <c r="S4873" s="1"/>
    </row>
    <row r="4874" spans="9:19" x14ac:dyDescent="0.3">
      <c r="I4874" s="1"/>
      <c r="S4874" s="1"/>
    </row>
    <row r="4875" spans="9:19" x14ac:dyDescent="0.3">
      <c r="I4875" s="1"/>
      <c r="S4875" s="1"/>
    </row>
    <row r="4876" spans="9:19" x14ac:dyDescent="0.3">
      <c r="I4876" s="1"/>
      <c r="S4876" s="1"/>
    </row>
    <row r="4877" spans="9:19" x14ac:dyDescent="0.3">
      <c r="I4877" s="1"/>
      <c r="S4877" s="1"/>
    </row>
    <row r="4878" spans="9:19" x14ac:dyDescent="0.3">
      <c r="I4878" s="1"/>
      <c r="S4878" s="1"/>
    </row>
    <row r="4879" spans="9:19" x14ac:dyDescent="0.3">
      <c r="I4879" s="1"/>
      <c r="S4879" s="1"/>
    </row>
    <row r="4880" spans="9:19" x14ac:dyDescent="0.3">
      <c r="I4880" s="1"/>
      <c r="S4880" s="1"/>
    </row>
    <row r="4881" spans="9:19" x14ac:dyDescent="0.3">
      <c r="I4881" s="1"/>
      <c r="S4881" s="1"/>
    </row>
    <row r="4882" spans="9:19" x14ac:dyDescent="0.3">
      <c r="I4882" s="1"/>
      <c r="S4882" s="1"/>
    </row>
    <row r="4883" spans="9:19" x14ac:dyDescent="0.3">
      <c r="I4883" s="1"/>
      <c r="S4883" s="1"/>
    </row>
    <row r="4884" spans="9:19" x14ac:dyDescent="0.3">
      <c r="I4884" s="1"/>
      <c r="S4884" s="1"/>
    </row>
    <row r="4885" spans="9:19" x14ac:dyDescent="0.3">
      <c r="I4885" s="1"/>
      <c r="S4885" s="1"/>
    </row>
    <row r="4886" spans="9:19" x14ac:dyDescent="0.3">
      <c r="I4886" s="1"/>
      <c r="S4886" s="1"/>
    </row>
    <row r="4887" spans="9:19" x14ac:dyDescent="0.3">
      <c r="I4887" s="1"/>
      <c r="S4887" s="1"/>
    </row>
    <row r="4888" spans="9:19" x14ac:dyDescent="0.3">
      <c r="I4888" s="1"/>
      <c r="S4888" s="1"/>
    </row>
    <row r="4889" spans="9:19" x14ac:dyDescent="0.3">
      <c r="I4889" s="1"/>
      <c r="S4889" s="1"/>
    </row>
    <row r="4890" spans="9:19" x14ac:dyDescent="0.3">
      <c r="I4890" s="1"/>
      <c r="S4890" s="1"/>
    </row>
    <row r="4891" spans="9:19" x14ac:dyDescent="0.3">
      <c r="I4891" s="1"/>
      <c r="S4891" s="1"/>
    </row>
    <row r="4892" spans="9:19" x14ac:dyDescent="0.3">
      <c r="I4892" s="1"/>
      <c r="S4892" s="1"/>
    </row>
    <row r="4893" spans="9:19" x14ac:dyDescent="0.3">
      <c r="I4893" s="1"/>
      <c r="S4893" s="1"/>
    </row>
    <row r="4894" spans="9:19" x14ac:dyDescent="0.3">
      <c r="I4894" s="1"/>
      <c r="S4894" s="1"/>
    </row>
    <row r="4895" spans="9:19" x14ac:dyDescent="0.3">
      <c r="I4895" s="1"/>
      <c r="S4895" s="1"/>
    </row>
    <row r="4896" spans="9:19" x14ac:dyDescent="0.3">
      <c r="I4896" s="1"/>
      <c r="S4896" s="1"/>
    </row>
    <row r="4897" spans="9:19" x14ac:dyDescent="0.3">
      <c r="I4897" s="1"/>
      <c r="S4897" s="1"/>
    </row>
    <row r="4898" spans="9:19" x14ac:dyDescent="0.3">
      <c r="I4898" s="1"/>
      <c r="S4898" s="1"/>
    </row>
    <row r="4899" spans="9:19" x14ac:dyDescent="0.3">
      <c r="I4899" s="1"/>
      <c r="S4899" s="1"/>
    </row>
    <row r="4900" spans="9:19" x14ac:dyDescent="0.3">
      <c r="I4900" s="1"/>
      <c r="S4900" s="1"/>
    </row>
    <row r="4901" spans="9:19" x14ac:dyDescent="0.3">
      <c r="I4901" s="1"/>
      <c r="S4901" s="1"/>
    </row>
    <row r="4902" spans="9:19" x14ac:dyDescent="0.3">
      <c r="I4902" s="1"/>
      <c r="S4902" s="1"/>
    </row>
    <row r="4903" spans="9:19" x14ac:dyDescent="0.3">
      <c r="I4903" s="1"/>
      <c r="S4903" s="1"/>
    </row>
    <row r="4904" spans="9:19" x14ac:dyDescent="0.3">
      <c r="I4904" s="1"/>
      <c r="S4904" s="1"/>
    </row>
    <row r="4905" spans="9:19" x14ac:dyDescent="0.3">
      <c r="I4905" s="1"/>
      <c r="S4905" s="1"/>
    </row>
    <row r="4906" spans="9:19" x14ac:dyDescent="0.3">
      <c r="I4906" s="1"/>
      <c r="S4906" s="1"/>
    </row>
    <row r="4907" spans="9:19" x14ac:dyDescent="0.3">
      <c r="I4907" s="1"/>
      <c r="S4907" s="1"/>
    </row>
    <row r="4908" spans="9:19" x14ac:dyDescent="0.3">
      <c r="I4908" s="1"/>
      <c r="S4908" s="1"/>
    </row>
    <row r="4909" spans="9:19" x14ac:dyDescent="0.3">
      <c r="I4909" s="1"/>
      <c r="S4909" s="1"/>
    </row>
    <row r="4910" spans="9:19" x14ac:dyDescent="0.3">
      <c r="I4910" s="1"/>
      <c r="S4910" s="1"/>
    </row>
    <row r="4911" spans="9:19" x14ac:dyDescent="0.3">
      <c r="I4911" s="1"/>
      <c r="S4911" s="1"/>
    </row>
    <row r="4912" spans="9:19" x14ac:dyDescent="0.3">
      <c r="I4912" s="1"/>
      <c r="S4912" s="1"/>
    </row>
    <row r="4913" spans="9:19" x14ac:dyDescent="0.3">
      <c r="I4913" s="1"/>
      <c r="S4913" s="1"/>
    </row>
    <row r="4914" spans="9:19" x14ac:dyDescent="0.3">
      <c r="I4914" s="1"/>
      <c r="S4914" s="1"/>
    </row>
    <row r="4915" spans="9:19" x14ac:dyDescent="0.3">
      <c r="I4915" s="1"/>
      <c r="S4915" s="1"/>
    </row>
    <row r="4916" spans="9:19" x14ac:dyDescent="0.3">
      <c r="I4916" s="1"/>
      <c r="S4916" s="1"/>
    </row>
    <row r="4917" spans="9:19" x14ac:dyDescent="0.3">
      <c r="I4917" s="1"/>
      <c r="S4917" s="1"/>
    </row>
    <row r="4918" spans="9:19" x14ac:dyDescent="0.3">
      <c r="I4918" s="1"/>
      <c r="S4918" s="1"/>
    </row>
    <row r="4919" spans="9:19" x14ac:dyDescent="0.3">
      <c r="I4919" s="1"/>
      <c r="S4919" s="1"/>
    </row>
    <row r="4920" spans="9:19" x14ac:dyDescent="0.3">
      <c r="I4920" s="1"/>
      <c r="S4920" s="1"/>
    </row>
    <row r="4921" spans="9:19" x14ac:dyDescent="0.3">
      <c r="I4921" s="1"/>
      <c r="S4921" s="1"/>
    </row>
    <row r="4922" spans="9:19" x14ac:dyDescent="0.3">
      <c r="I4922" s="1"/>
      <c r="S4922" s="1"/>
    </row>
    <row r="4923" spans="9:19" x14ac:dyDescent="0.3">
      <c r="I4923" s="1"/>
      <c r="S4923" s="1"/>
    </row>
    <row r="4924" spans="9:19" x14ac:dyDescent="0.3">
      <c r="I4924" s="1"/>
      <c r="S4924" s="1"/>
    </row>
    <row r="4925" spans="9:19" x14ac:dyDescent="0.3">
      <c r="I4925" s="1"/>
      <c r="S4925" s="1"/>
    </row>
    <row r="4926" spans="9:19" x14ac:dyDescent="0.3">
      <c r="I4926" s="1"/>
      <c r="S4926" s="1"/>
    </row>
    <row r="4927" spans="9:19" x14ac:dyDescent="0.3">
      <c r="I4927" s="1"/>
      <c r="S4927" s="1"/>
    </row>
    <row r="4928" spans="9:19" x14ac:dyDescent="0.3">
      <c r="I4928" s="1"/>
      <c r="S4928" s="1"/>
    </row>
    <row r="4929" spans="9:19" x14ac:dyDescent="0.3">
      <c r="I4929" s="1"/>
      <c r="S4929" s="1"/>
    </row>
    <row r="4930" spans="9:19" x14ac:dyDescent="0.3">
      <c r="I4930" s="1"/>
      <c r="S4930" s="1"/>
    </row>
    <row r="4931" spans="9:19" x14ac:dyDescent="0.3">
      <c r="I4931" s="1"/>
      <c r="S4931" s="1"/>
    </row>
    <row r="4932" spans="9:19" x14ac:dyDescent="0.3">
      <c r="I4932" s="1"/>
      <c r="S4932" s="1"/>
    </row>
    <row r="4933" spans="9:19" x14ac:dyDescent="0.3">
      <c r="I4933" s="1"/>
      <c r="S4933" s="1"/>
    </row>
    <row r="4934" spans="9:19" x14ac:dyDescent="0.3">
      <c r="I4934" s="1"/>
      <c r="S4934" s="1"/>
    </row>
    <row r="4935" spans="9:19" x14ac:dyDescent="0.3">
      <c r="I4935" s="1"/>
      <c r="S4935" s="1"/>
    </row>
    <row r="4936" spans="9:19" x14ac:dyDescent="0.3">
      <c r="I4936" s="1"/>
      <c r="S4936" s="1"/>
    </row>
    <row r="4937" spans="9:19" x14ac:dyDescent="0.3">
      <c r="I4937" s="1"/>
      <c r="S4937" s="1"/>
    </row>
    <row r="4938" spans="9:19" x14ac:dyDescent="0.3">
      <c r="I4938" s="1"/>
      <c r="S4938" s="1"/>
    </row>
    <row r="4939" spans="9:19" x14ac:dyDescent="0.3">
      <c r="I4939" s="1"/>
      <c r="S4939" s="1"/>
    </row>
    <row r="4940" spans="9:19" x14ac:dyDescent="0.3">
      <c r="I4940" s="1"/>
      <c r="S4940" s="1"/>
    </row>
    <row r="4941" spans="9:19" x14ac:dyDescent="0.3">
      <c r="I4941" s="1"/>
      <c r="S4941" s="1"/>
    </row>
    <row r="4942" spans="9:19" x14ac:dyDescent="0.3">
      <c r="I4942" s="1"/>
      <c r="S4942" s="1"/>
    </row>
    <row r="4943" spans="9:19" x14ac:dyDescent="0.3">
      <c r="I4943" s="1"/>
      <c r="S4943" s="1"/>
    </row>
    <row r="4944" spans="9:19" x14ac:dyDescent="0.3">
      <c r="I4944" s="1"/>
      <c r="S4944" s="1"/>
    </row>
    <row r="4945" spans="9:19" x14ac:dyDescent="0.3">
      <c r="I4945" s="1"/>
      <c r="S4945" s="1"/>
    </row>
    <row r="4946" spans="9:19" x14ac:dyDescent="0.3">
      <c r="I4946" s="1"/>
      <c r="S4946" s="1"/>
    </row>
    <row r="4947" spans="9:19" x14ac:dyDescent="0.3">
      <c r="I4947" s="1"/>
      <c r="S4947" s="1"/>
    </row>
    <row r="4948" spans="9:19" x14ac:dyDescent="0.3">
      <c r="I4948" s="1"/>
      <c r="S4948" s="1"/>
    </row>
    <row r="4949" spans="9:19" x14ac:dyDescent="0.3">
      <c r="I4949" s="1"/>
      <c r="S4949" s="1"/>
    </row>
    <row r="4950" spans="9:19" x14ac:dyDescent="0.3">
      <c r="I4950" s="1"/>
      <c r="S4950" s="1"/>
    </row>
    <row r="4951" spans="9:19" x14ac:dyDescent="0.3">
      <c r="I4951" s="1"/>
      <c r="S4951" s="1"/>
    </row>
    <row r="4952" spans="9:19" x14ac:dyDescent="0.3">
      <c r="I4952" s="1"/>
      <c r="S4952" s="1"/>
    </row>
    <row r="4953" spans="9:19" x14ac:dyDescent="0.3">
      <c r="I4953" s="1"/>
      <c r="S4953" s="1"/>
    </row>
    <row r="4954" spans="9:19" x14ac:dyDescent="0.3">
      <c r="I4954" s="1"/>
      <c r="S4954" s="1"/>
    </row>
    <row r="4955" spans="9:19" x14ac:dyDescent="0.3">
      <c r="I4955" s="1"/>
      <c r="S4955" s="1"/>
    </row>
    <row r="4956" spans="9:19" x14ac:dyDescent="0.3">
      <c r="I4956" s="1"/>
      <c r="S4956" s="1"/>
    </row>
    <row r="4957" spans="9:19" x14ac:dyDescent="0.3">
      <c r="I4957" s="1"/>
      <c r="S4957" s="1"/>
    </row>
    <row r="4958" spans="9:19" x14ac:dyDescent="0.3">
      <c r="I4958" s="1"/>
      <c r="S4958" s="1"/>
    </row>
    <row r="4959" spans="9:19" x14ac:dyDescent="0.3">
      <c r="I4959" s="1"/>
      <c r="S4959" s="1"/>
    </row>
    <row r="4960" spans="9:19" x14ac:dyDescent="0.3">
      <c r="I4960" s="1"/>
      <c r="S4960" s="1"/>
    </row>
    <row r="4961" spans="9:19" x14ac:dyDescent="0.3">
      <c r="I4961" s="1"/>
      <c r="S4961" s="1"/>
    </row>
    <row r="4962" spans="9:19" x14ac:dyDescent="0.3">
      <c r="I4962" s="1"/>
      <c r="S4962" s="1"/>
    </row>
    <row r="4963" spans="9:19" x14ac:dyDescent="0.3">
      <c r="I4963" s="1"/>
      <c r="S4963" s="1"/>
    </row>
    <row r="4964" spans="9:19" x14ac:dyDescent="0.3">
      <c r="I4964" s="1"/>
      <c r="S4964" s="1"/>
    </row>
    <row r="4965" spans="9:19" x14ac:dyDescent="0.3">
      <c r="I4965" s="1"/>
      <c r="S4965" s="1"/>
    </row>
    <row r="4966" spans="9:19" x14ac:dyDescent="0.3">
      <c r="I4966" s="1"/>
      <c r="S4966" s="1"/>
    </row>
    <row r="4967" spans="9:19" x14ac:dyDescent="0.3">
      <c r="I4967" s="1"/>
      <c r="S4967" s="1"/>
    </row>
    <row r="4968" spans="9:19" x14ac:dyDescent="0.3">
      <c r="I4968" s="1"/>
      <c r="S4968" s="1"/>
    </row>
    <row r="4969" spans="9:19" x14ac:dyDescent="0.3">
      <c r="I4969" s="1"/>
      <c r="S4969" s="1"/>
    </row>
    <row r="4970" spans="9:19" x14ac:dyDescent="0.3">
      <c r="I4970" s="1"/>
      <c r="S4970" s="1"/>
    </row>
    <row r="4971" spans="9:19" x14ac:dyDescent="0.3">
      <c r="I4971" s="1"/>
      <c r="S4971" s="1"/>
    </row>
    <row r="4972" spans="9:19" x14ac:dyDescent="0.3">
      <c r="I4972" s="1"/>
      <c r="S4972" s="1"/>
    </row>
    <row r="4973" spans="9:19" x14ac:dyDescent="0.3">
      <c r="I4973" s="1"/>
      <c r="S4973" s="1"/>
    </row>
    <row r="4974" spans="9:19" x14ac:dyDescent="0.3">
      <c r="I4974" s="1"/>
      <c r="S4974" s="1"/>
    </row>
    <row r="4975" spans="9:19" x14ac:dyDescent="0.3">
      <c r="I4975" s="1"/>
      <c r="S4975" s="1"/>
    </row>
    <row r="4976" spans="9:19" x14ac:dyDescent="0.3">
      <c r="I4976" s="1"/>
      <c r="S4976" s="1"/>
    </row>
    <row r="4977" spans="9:19" x14ac:dyDescent="0.3">
      <c r="I4977" s="1"/>
      <c r="S4977" s="1"/>
    </row>
    <row r="4978" spans="9:19" x14ac:dyDescent="0.3">
      <c r="I4978" s="1"/>
      <c r="S4978" s="1"/>
    </row>
    <row r="4979" spans="9:19" x14ac:dyDescent="0.3">
      <c r="I4979" s="1"/>
      <c r="S4979" s="1"/>
    </row>
    <row r="4980" spans="9:19" x14ac:dyDescent="0.3">
      <c r="I4980" s="1"/>
      <c r="S4980" s="1"/>
    </row>
    <row r="4981" spans="9:19" x14ac:dyDescent="0.3">
      <c r="I4981" s="1"/>
      <c r="S4981" s="1"/>
    </row>
    <row r="4982" spans="9:19" x14ac:dyDescent="0.3">
      <c r="I4982" s="1"/>
      <c r="S4982" s="1"/>
    </row>
    <row r="4983" spans="9:19" x14ac:dyDescent="0.3">
      <c r="I4983" s="1"/>
      <c r="S4983" s="1"/>
    </row>
    <row r="4984" spans="9:19" x14ac:dyDescent="0.3">
      <c r="I4984" s="1"/>
      <c r="S4984" s="1"/>
    </row>
    <row r="4985" spans="9:19" x14ac:dyDescent="0.3">
      <c r="I4985" s="1"/>
      <c r="S4985" s="1"/>
    </row>
    <row r="4986" spans="9:19" x14ac:dyDescent="0.3">
      <c r="I4986" s="1"/>
      <c r="S4986" s="1"/>
    </row>
    <row r="4987" spans="9:19" x14ac:dyDescent="0.3">
      <c r="I4987" s="1"/>
      <c r="S4987" s="1"/>
    </row>
    <row r="4988" spans="9:19" x14ac:dyDescent="0.3">
      <c r="I4988" s="1"/>
      <c r="S4988" s="1"/>
    </row>
    <row r="4989" spans="9:19" x14ac:dyDescent="0.3">
      <c r="I4989" s="1"/>
      <c r="S4989" s="1"/>
    </row>
    <row r="4990" spans="9:19" x14ac:dyDescent="0.3">
      <c r="I4990" s="1"/>
      <c r="S4990" s="1"/>
    </row>
    <row r="4991" spans="9:19" x14ac:dyDescent="0.3">
      <c r="I4991" s="1"/>
      <c r="S4991" s="1"/>
    </row>
    <row r="4992" spans="9:19" x14ac:dyDescent="0.3">
      <c r="I4992" s="1"/>
      <c r="S4992" s="1"/>
    </row>
    <row r="4993" spans="9:19" x14ac:dyDescent="0.3">
      <c r="I4993" s="1"/>
      <c r="S4993" s="1"/>
    </row>
    <row r="4994" spans="9:19" x14ac:dyDescent="0.3">
      <c r="I4994" s="1"/>
      <c r="S4994" s="1"/>
    </row>
    <row r="4995" spans="9:19" x14ac:dyDescent="0.3">
      <c r="I4995" s="1"/>
      <c r="S4995" s="1"/>
    </row>
    <row r="4996" spans="9:19" x14ac:dyDescent="0.3">
      <c r="I4996" s="1"/>
      <c r="S4996" s="1"/>
    </row>
    <row r="4997" spans="9:19" x14ac:dyDescent="0.3">
      <c r="I4997" s="1"/>
      <c r="S4997" s="1"/>
    </row>
    <row r="4998" spans="9:19" x14ac:dyDescent="0.3">
      <c r="I4998" s="1"/>
      <c r="S4998" s="1"/>
    </row>
    <row r="4999" spans="9:19" x14ac:dyDescent="0.3">
      <c r="I4999" s="1"/>
      <c r="S4999" s="1"/>
    </row>
    <row r="5000" spans="9:19" x14ac:dyDescent="0.3">
      <c r="I5000" s="1"/>
      <c r="S5000" s="1"/>
    </row>
    <row r="5001" spans="9:19" x14ac:dyDescent="0.3">
      <c r="I5001" s="1"/>
      <c r="S5001" s="1"/>
    </row>
    <row r="5002" spans="9:19" x14ac:dyDescent="0.3">
      <c r="I5002" s="1"/>
      <c r="S5002" s="1"/>
    </row>
    <row r="5003" spans="9:19" x14ac:dyDescent="0.3">
      <c r="I5003" s="1"/>
      <c r="S5003" s="1"/>
    </row>
    <row r="5004" spans="9:19" x14ac:dyDescent="0.3">
      <c r="I5004" s="1"/>
      <c r="S5004" s="1"/>
    </row>
    <row r="5005" spans="9:19" x14ac:dyDescent="0.3">
      <c r="I5005" s="1"/>
      <c r="S5005" s="1"/>
    </row>
    <row r="5006" spans="9:19" x14ac:dyDescent="0.3">
      <c r="I5006" s="1"/>
      <c r="S5006" s="1"/>
    </row>
    <row r="5007" spans="9:19" x14ac:dyDescent="0.3">
      <c r="I5007" s="1"/>
      <c r="S5007" s="1"/>
    </row>
    <row r="5008" spans="9:19" x14ac:dyDescent="0.3">
      <c r="I5008" s="1"/>
      <c r="S5008" s="1"/>
    </row>
    <row r="5009" spans="9:19" x14ac:dyDescent="0.3">
      <c r="I5009" s="1"/>
      <c r="S5009" s="1"/>
    </row>
    <row r="5010" spans="9:19" x14ac:dyDescent="0.3">
      <c r="I5010" s="1"/>
      <c r="S5010" s="1"/>
    </row>
    <row r="5011" spans="9:19" x14ac:dyDescent="0.3">
      <c r="I5011" s="1"/>
      <c r="S5011" s="1"/>
    </row>
    <row r="5012" spans="9:19" x14ac:dyDescent="0.3">
      <c r="I5012" s="1"/>
      <c r="S5012" s="1"/>
    </row>
    <row r="5013" spans="9:19" x14ac:dyDescent="0.3">
      <c r="I5013" s="1"/>
      <c r="S5013" s="1"/>
    </row>
    <row r="5014" spans="9:19" x14ac:dyDescent="0.3">
      <c r="I5014" s="1"/>
      <c r="S5014" s="1"/>
    </row>
    <row r="5015" spans="9:19" x14ac:dyDescent="0.3">
      <c r="I5015" s="1"/>
      <c r="S5015" s="1"/>
    </row>
    <row r="5016" spans="9:19" x14ac:dyDescent="0.3">
      <c r="I5016" s="1"/>
      <c r="S5016" s="1"/>
    </row>
    <row r="5017" spans="9:19" x14ac:dyDescent="0.3">
      <c r="I5017" s="1"/>
      <c r="S5017" s="1"/>
    </row>
    <row r="5018" spans="9:19" x14ac:dyDescent="0.3">
      <c r="I5018" s="1"/>
      <c r="S5018" s="1"/>
    </row>
    <row r="5019" spans="9:19" x14ac:dyDescent="0.3">
      <c r="I5019" s="1"/>
      <c r="S5019" s="1"/>
    </row>
    <row r="5020" spans="9:19" x14ac:dyDescent="0.3">
      <c r="I5020" s="1"/>
      <c r="S5020" s="1"/>
    </row>
    <row r="5021" spans="9:19" x14ac:dyDescent="0.3">
      <c r="I5021" s="1"/>
      <c r="S5021" s="1"/>
    </row>
    <row r="5022" spans="9:19" x14ac:dyDescent="0.3">
      <c r="I5022" s="1"/>
      <c r="S5022" s="1"/>
    </row>
    <row r="5023" spans="9:19" x14ac:dyDescent="0.3">
      <c r="I5023" s="1"/>
      <c r="S5023" s="1"/>
    </row>
    <row r="5024" spans="9:19" x14ac:dyDescent="0.3">
      <c r="I5024" s="1"/>
      <c r="S5024" s="1"/>
    </row>
    <row r="5025" spans="9:19" x14ac:dyDescent="0.3">
      <c r="I5025" s="1"/>
      <c r="S5025" s="1"/>
    </row>
    <row r="5026" spans="9:19" x14ac:dyDescent="0.3">
      <c r="I5026" s="1"/>
      <c r="S5026" s="1"/>
    </row>
    <row r="5027" spans="9:19" x14ac:dyDescent="0.3">
      <c r="I5027" s="1"/>
      <c r="S5027" s="1"/>
    </row>
    <row r="5028" spans="9:19" x14ac:dyDescent="0.3">
      <c r="I5028" s="1"/>
      <c r="S5028" s="1"/>
    </row>
    <row r="5029" spans="9:19" x14ac:dyDescent="0.3">
      <c r="I5029" s="1"/>
      <c r="S5029" s="1"/>
    </row>
    <row r="5030" spans="9:19" x14ac:dyDescent="0.3">
      <c r="I5030" s="1"/>
      <c r="S5030" s="1"/>
    </row>
    <row r="5031" spans="9:19" x14ac:dyDescent="0.3">
      <c r="I5031" s="1"/>
      <c r="S5031" s="1"/>
    </row>
    <row r="5032" spans="9:19" x14ac:dyDescent="0.3">
      <c r="I5032" s="1"/>
      <c r="S5032" s="1"/>
    </row>
    <row r="5033" spans="9:19" x14ac:dyDescent="0.3">
      <c r="I5033" s="1"/>
      <c r="S5033" s="1"/>
    </row>
    <row r="5034" spans="9:19" x14ac:dyDescent="0.3">
      <c r="I5034" s="1"/>
      <c r="S5034" s="1"/>
    </row>
    <row r="5035" spans="9:19" x14ac:dyDescent="0.3">
      <c r="I5035" s="1"/>
      <c r="S5035" s="1"/>
    </row>
    <row r="5036" spans="9:19" x14ac:dyDescent="0.3">
      <c r="I5036" s="1"/>
      <c r="S5036" s="1"/>
    </row>
    <row r="5037" spans="9:19" x14ac:dyDescent="0.3">
      <c r="I5037" s="1"/>
      <c r="S5037" s="1"/>
    </row>
    <row r="5038" spans="9:19" x14ac:dyDescent="0.3">
      <c r="I5038" s="1"/>
      <c r="S5038" s="1"/>
    </row>
    <row r="5039" spans="9:19" x14ac:dyDescent="0.3">
      <c r="I5039" s="1"/>
      <c r="S5039" s="1"/>
    </row>
    <row r="5040" spans="9:19" x14ac:dyDescent="0.3">
      <c r="I5040" s="1"/>
      <c r="S5040" s="1"/>
    </row>
    <row r="5041" spans="9:19" x14ac:dyDescent="0.3">
      <c r="I5041" s="1"/>
      <c r="S5041" s="1"/>
    </row>
    <row r="5042" spans="9:19" x14ac:dyDescent="0.3">
      <c r="I5042" s="1"/>
      <c r="S5042" s="1"/>
    </row>
    <row r="5043" spans="9:19" x14ac:dyDescent="0.3">
      <c r="I5043" s="1"/>
      <c r="S5043" s="1"/>
    </row>
    <row r="5044" spans="9:19" x14ac:dyDescent="0.3">
      <c r="I5044" s="1"/>
      <c r="S5044" s="1"/>
    </row>
    <row r="5045" spans="9:19" x14ac:dyDescent="0.3">
      <c r="I5045" s="1"/>
      <c r="S5045" s="1"/>
    </row>
    <row r="5046" spans="9:19" x14ac:dyDescent="0.3">
      <c r="I5046" s="1"/>
      <c r="S5046" s="1"/>
    </row>
    <row r="5047" spans="9:19" x14ac:dyDescent="0.3">
      <c r="I5047" s="1"/>
      <c r="S5047" s="1"/>
    </row>
    <row r="5048" spans="9:19" x14ac:dyDescent="0.3">
      <c r="I5048" s="1"/>
      <c r="S5048" s="1"/>
    </row>
    <row r="5049" spans="9:19" x14ac:dyDescent="0.3">
      <c r="I5049" s="1"/>
      <c r="S5049" s="1"/>
    </row>
    <row r="5050" spans="9:19" x14ac:dyDescent="0.3">
      <c r="I5050" s="1"/>
      <c r="S5050" s="1"/>
    </row>
    <row r="5051" spans="9:19" x14ac:dyDescent="0.3">
      <c r="I5051" s="1"/>
      <c r="S5051" s="1"/>
    </row>
    <row r="5052" spans="9:19" x14ac:dyDescent="0.3">
      <c r="I5052" s="1"/>
      <c r="S5052" s="1"/>
    </row>
    <row r="5053" spans="9:19" x14ac:dyDescent="0.3">
      <c r="I5053" s="1"/>
      <c r="S5053" s="1"/>
    </row>
    <row r="5054" spans="9:19" x14ac:dyDescent="0.3">
      <c r="I5054" s="1"/>
      <c r="S5054" s="1"/>
    </row>
    <row r="5055" spans="9:19" x14ac:dyDescent="0.3">
      <c r="I5055" s="1"/>
      <c r="S5055" s="1"/>
    </row>
    <row r="5056" spans="9:19" x14ac:dyDescent="0.3">
      <c r="I5056" s="1"/>
      <c r="S5056" s="1"/>
    </row>
    <row r="5057" spans="9:19" x14ac:dyDescent="0.3">
      <c r="I5057" s="1"/>
      <c r="S5057" s="1"/>
    </row>
    <row r="5058" spans="9:19" x14ac:dyDescent="0.3">
      <c r="I5058" s="1"/>
      <c r="S5058" s="1"/>
    </row>
    <row r="5059" spans="9:19" x14ac:dyDescent="0.3">
      <c r="I5059" s="1"/>
      <c r="S5059" s="1"/>
    </row>
    <row r="5060" spans="9:19" x14ac:dyDescent="0.3">
      <c r="I5060" s="1"/>
      <c r="S5060" s="1"/>
    </row>
    <row r="5061" spans="9:19" x14ac:dyDescent="0.3">
      <c r="I5061" s="1"/>
      <c r="S5061" s="1"/>
    </row>
    <row r="5062" spans="9:19" x14ac:dyDescent="0.3">
      <c r="I5062" s="1"/>
      <c r="S5062" s="1"/>
    </row>
    <row r="5063" spans="9:19" x14ac:dyDescent="0.3">
      <c r="I5063" s="1"/>
      <c r="S5063" s="1"/>
    </row>
    <row r="5064" spans="9:19" x14ac:dyDescent="0.3">
      <c r="I5064" s="1"/>
      <c r="S5064" s="1"/>
    </row>
    <row r="5065" spans="9:19" x14ac:dyDescent="0.3">
      <c r="I5065" s="1"/>
      <c r="S5065" s="1"/>
    </row>
    <row r="5066" spans="9:19" x14ac:dyDescent="0.3">
      <c r="I5066" s="1"/>
      <c r="S5066" s="1"/>
    </row>
    <row r="5067" spans="9:19" x14ac:dyDescent="0.3">
      <c r="I5067" s="1"/>
      <c r="S5067" s="1"/>
    </row>
    <row r="5068" spans="9:19" x14ac:dyDescent="0.3">
      <c r="I5068" s="1"/>
      <c r="S5068" s="1"/>
    </row>
    <row r="5069" spans="9:19" x14ac:dyDescent="0.3">
      <c r="I5069" s="1"/>
      <c r="S5069" s="1"/>
    </row>
    <row r="5070" spans="9:19" x14ac:dyDescent="0.3">
      <c r="I5070" s="1"/>
      <c r="S5070" s="1"/>
    </row>
    <row r="5071" spans="9:19" x14ac:dyDescent="0.3">
      <c r="I5071" s="1"/>
      <c r="S5071" s="1"/>
    </row>
    <row r="5072" spans="9:19" x14ac:dyDescent="0.3">
      <c r="I5072" s="1"/>
      <c r="S5072" s="1"/>
    </row>
    <row r="5073" spans="9:19" x14ac:dyDescent="0.3">
      <c r="I5073" s="1"/>
      <c r="S5073" s="1"/>
    </row>
    <row r="5074" spans="9:19" x14ac:dyDescent="0.3">
      <c r="I5074" s="1"/>
      <c r="S5074" s="1"/>
    </row>
    <row r="5075" spans="9:19" x14ac:dyDescent="0.3">
      <c r="I5075" s="1"/>
      <c r="S5075" s="1"/>
    </row>
    <row r="5076" spans="9:19" x14ac:dyDescent="0.3">
      <c r="I5076" s="1"/>
      <c r="S5076" s="1"/>
    </row>
    <row r="5077" spans="9:19" x14ac:dyDescent="0.3">
      <c r="I5077" s="1"/>
      <c r="S5077" s="1"/>
    </row>
    <row r="5078" spans="9:19" x14ac:dyDescent="0.3">
      <c r="I5078" s="1"/>
      <c r="S5078" s="1"/>
    </row>
    <row r="5079" spans="9:19" x14ac:dyDescent="0.3">
      <c r="I5079" s="1"/>
      <c r="S5079" s="1"/>
    </row>
    <row r="5080" spans="9:19" x14ac:dyDescent="0.3">
      <c r="I5080" s="1"/>
      <c r="S5080" s="1"/>
    </row>
    <row r="5081" spans="9:19" x14ac:dyDescent="0.3">
      <c r="I5081" s="1"/>
      <c r="S5081" s="1"/>
    </row>
    <row r="5082" spans="9:19" x14ac:dyDescent="0.3">
      <c r="I5082" s="1"/>
      <c r="S5082" s="1"/>
    </row>
    <row r="5083" spans="9:19" x14ac:dyDescent="0.3">
      <c r="I5083" s="1"/>
      <c r="S5083" s="1"/>
    </row>
    <row r="5084" spans="9:19" x14ac:dyDescent="0.3">
      <c r="I5084" s="1"/>
      <c r="S5084" s="1"/>
    </row>
    <row r="5085" spans="9:19" x14ac:dyDescent="0.3">
      <c r="I5085" s="1"/>
      <c r="S5085" s="1"/>
    </row>
    <row r="5086" spans="9:19" x14ac:dyDescent="0.3">
      <c r="I5086" s="1"/>
      <c r="S5086" s="1"/>
    </row>
    <row r="5087" spans="9:19" x14ac:dyDescent="0.3">
      <c r="I5087" s="1"/>
      <c r="S5087" s="1"/>
    </row>
    <row r="5088" spans="9:19" x14ac:dyDescent="0.3">
      <c r="I5088" s="1"/>
      <c r="S5088" s="1"/>
    </row>
    <row r="5089" spans="9:19" x14ac:dyDescent="0.3">
      <c r="I5089" s="1"/>
      <c r="S5089" s="1"/>
    </row>
    <row r="5090" spans="9:19" x14ac:dyDescent="0.3">
      <c r="I5090" s="1"/>
      <c r="S5090" s="1"/>
    </row>
    <row r="5091" spans="9:19" x14ac:dyDescent="0.3">
      <c r="I5091" s="1"/>
      <c r="S5091" s="1"/>
    </row>
    <row r="5092" spans="9:19" x14ac:dyDescent="0.3">
      <c r="I5092" s="1"/>
      <c r="S5092" s="1"/>
    </row>
    <row r="5093" spans="9:19" x14ac:dyDescent="0.3">
      <c r="I5093" s="1"/>
      <c r="S5093" s="1"/>
    </row>
    <row r="5094" spans="9:19" x14ac:dyDescent="0.3">
      <c r="I5094" s="1"/>
      <c r="S5094" s="1"/>
    </row>
    <row r="5095" spans="9:19" x14ac:dyDescent="0.3">
      <c r="I5095" s="1"/>
      <c r="S5095" s="1"/>
    </row>
    <row r="5096" spans="9:19" x14ac:dyDescent="0.3">
      <c r="I5096" s="1"/>
      <c r="S5096" s="1"/>
    </row>
    <row r="5097" spans="9:19" x14ac:dyDescent="0.3">
      <c r="I5097" s="1"/>
      <c r="S5097" s="1"/>
    </row>
    <row r="5098" spans="9:19" x14ac:dyDescent="0.3">
      <c r="I5098" s="1"/>
      <c r="S5098" s="1"/>
    </row>
    <row r="5099" spans="9:19" x14ac:dyDescent="0.3">
      <c r="I5099" s="1"/>
      <c r="S5099" s="1"/>
    </row>
    <row r="5100" spans="9:19" x14ac:dyDescent="0.3">
      <c r="I5100" s="1"/>
      <c r="S5100" s="1"/>
    </row>
    <row r="5101" spans="9:19" x14ac:dyDescent="0.3">
      <c r="I5101" s="1"/>
      <c r="S5101" s="1"/>
    </row>
    <row r="5102" spans="9:19" x14ac:dyDescent="0.3">
      <c r="I5102" s="1"/>
      <c r="S5102" s="1"/>
    </row>
    <row r="5103" spans="9:19" x14ac:dyDescent="0.3">
      <c r="I5103" s="1"/>
      <c r="S5103" s="1"/>
    </row>
    <row r="5104" spans="9:19" x14ac:dyDescent="0.3">
      <c r="I5104" s="1"/>
      <c r="S5104" s="1"/>
    </row>
    <row r="5105" spans="9:19" x14ac:dyDescent="0.3">
      <c r="I5105" s="1"/>
      <c r="S5105" s="1"/>
    </row>
    <row r="5106" spans="9:19" x14ac:dyDescent="0.3">
      <c r="I5106" s="1"/>
      <c r="S5106" s="1"/>
    </row>
    <row r="5107" spans="9:19" x14ac:dyDescent="0.3">
      <c r="I5107" s="1"/>
      <c r="S5107" s="1"/>
    </row>
    <row r="5108" spans="9:19" x14ac:dyDescent="0.3">
      <c r="I5108" s="1"/>
      <c r="S5108" s="1"/>
    </row>
    <row r="5109" spans="9:19" x14ac:dyDescent="0.3">
      <c r="I5109" s="1"/>
      <c r="S5109" s="1"/>
    </row>
    <row r="5110" spans="9:19" x14ac:dyDescent="0.3">
      <c r="I5110" s="1"/>
      <c r="S5110" s="1"/>
    </row>
    <row r="5111" spans="9:19" x14ac:dyDescent="0.3">
      <c r="I5111" s="1"/>
      <c r="S5111" s="1"/>
    </row>
    <row r="5112" spans="9:19" x14ac:dyDescent="0.3">
      <c r="I5112" s="1"/>
      <c r="S5112" s="1"/>
    </row>
    <row r="5113" spans="9:19" x14ac:dyDescent="0.3">
      <c r="I5113" s="1"/>
      <c r="S5113" s="1"/>
    </row>
    <row r="5114" spans="9:19" x14ac:dyDescent="0.3">
      <c r="I5114" s="1"/>
      <c r="S5114" s="1"/>
    </row>
    <row r="5115" spans="9:19" x14ac:dyDescent="0.3">
      <c r="I5115" s="1"/>
      <c r="S5115" s="1"/>
    </row>
    <row r="5116" spans="9:19" x14ac:dyDescent="0.3">
      <c r="I5116" s="1"/>
      <c r="S5116" s="1"/>
    </row>
    <row r="5117" spans="9:19" x14ac:dyDescent="0.3">
      <c r="I5117" s="1"/>
      <c r="S5117" s="1"/>
    </row>
    <row r="5118" spans="9:19" x14ac:dyDescent="0.3">
      <c r="I5118" s="1"/>
      <c r="S5118" s="1"/>
    </row>
    <row r="5119" spans="9:19" x14ac:dyDescent="0.3">
      <c r="I5119" s="1"/>
      <c r="S5119" s="1"/>
    </row>
    <row r="5120" spans="9:19" x14ac:dyDescent="0.3">
      <c r="I5120" s="1"/>
      <c r="S5120" s="1"/>
    </row>
    <row r="5121" spans="9:19" x14ac:dyDescent="0.3">
      <c r="I5121" s="1"/>
      <c r="S5121" s="1"/>
    </row>
    <row r="5122" spans="9:19" x14ac:dyDescent="0.3">
      <c r="I5122" s="1"/>
      <c r="S5122" s="1"/>
    </row>
    <row r="5123" spans="9:19" x14ac:dyDescent="0.3">
      <c r="I5123" s="1"/>
      <c r="S5123" s="1"/>
    </row>
    <row r="5124" spans="9:19" x14ac:dyDescent="0.3">
      <c r="I5124" s="1"/>
      <c r="S5124" s="1"/>
    </row>
    <row r="5125" spans="9:19" x14ac:dyDescent="0.3">
      <c r="I5125" s="1"/>
      <c r="S5125" s="1"/>
    </row>
    <row r="5126" spans="9:19" x14ac:dyDescent="0.3">
      <c r="I5126" s="1"/>
      <c r="S5126" s="1"/>
    </row>
    <row r="5127" spans="9:19" x14ac:dyDescent="0.3">
      <c r="I5127" s="1"/>
      <c r="S5127" s="1"/>
    </row>
    <row r="5128" spans="9:19" x14ac:dyDescent="0.3">
      <c r="I5128" s="1"/>
      <c r="S5128" s="1"/>
    </row>
    <row r="5129" spans="9:19" x14ac:dyDescent="0.3">
      <c r="I5129" s="1"/>
      <c r="S5129" s="1"/>
    </row>
    <row r="5130" spans="9:19" x14ac:dyDescent="0.3">
      <c r="I5130" s="1"/>
      <c r="S5130" s="1"/>
    </row>
    <row r="5131" spans="9:19" x14ac:dyDescent="0.3">
      <c r="I5131" s="1"/>
      <c r="S5131" s="1"/>
    </row>
    <row r="5132" spans="9:19" x14ac:dyDescent="0.3">
      <c r="I5132" s="1"/>
      <c r="S5132" s="1"/>
    </row>
    <row r="5133" spans="9:19" x14ac:dyDescent="0.3">
      <c r="I5133" s="1"/>
      <c r="S5133" s="1"/>
    </row>
    <row r="5134" spans="9:19" x14ac:dyDescent="0.3">
      <c r="I5134" s="1"/>
      <c r="S5134" s="1"/>
    </row>
    <row r="5135" spans="9:19" x14ac:dyDescent="0.3">
      <c r="I5135" s="1"/>
      <c r="S5135" s="1"/>
    </row>
    <row r="5136" spans="9:19" x14ac:dyDescent="0.3">
      <c r="I5136" s="1"/>
      <c r="S5136" s="1"/>
    </row>
    <row r="5137" spans="9:19" x14ac:dyDescent="0.3">
      <c r="I5137" s="1"/>
      <c r="S5137" s="1"/>
    </row>
    <row r="5138" spans="9:19" x14ac:dyDescent="0.3">
      <c r="I5138" s="1"/>
      <c r="S5138" s="1"/>
    </row>
    <row r="5139" spans="9:19" x14ac:dyDescent="0.3">
      <c r="I5139" s="1"/>
      <c r="S5139" s="1"/>
    </row>
    <row r="5140" spans="9:19" x14ac:dyDescent="0.3">
      <c r="I5140" s="1"/>
      <c r="S5140" s="1"/>
    </row>
    <row r="5141" spans="9:19" x14ac:dyDescent="0.3">
      <c r="I5141" s="1"/>
      <c r="S5141" s="1"/>
    </row>
    <row r="5142" spans="9:19" x14ac:dyDescent="0.3">
      <c r="I5142" s="1"/>
      <c r="S5142" s="1"/>
    </row>
    <row r="5143" spans="9:19" x14ac:dyDescent="0.3">
      <c r="I5143" s="1"/>
      <c r="S5143" s="1"/>
    </row>
    <row r="5144" spans="9:19" x14ac:dyDescent="0.3">
      <c r="I5144" s="1"/>
      <c r="S5144" s="1"/>
    </row>
    <row r="5145" spans="9:19" x14ac:dyDescent="0.3">
      <c r="I5145" s="1"/>
      <c r="S5145" s="1"/>
    </row>
    <row r="5146" spans="9:19" x14ac:dyDescent="0.3">
      <c r="I5146" s="1"/>
      <c r="S5146" s="1"/>
    </row>
    <row r="5147" spans="9:19" x14ac:dyDescent="0.3">
      <c r="I5147" s="1"/>
      <c r="S5147" s="1"/>
    </row>
    <row r="5148" spans="9:19" x14ac:dyDescent="0.3">
      <c r="I5148" s="1"/>
      <c r="S5148" s="1"/>
    </row>
    <row r="5149" spans="9:19" x14ac:dyDescent="0.3">
      <c r="I5149" s="1"/>
      <c r="S5149" s="1"/>
    </row>
    <row r="5150" spans="9:19" x14ac:dyDescent="0.3">
      <c r="I5150" s="1"/>
      <c r="S5150" s="1"/>
    </row>
    <row r="5151" spans="9:19" x14ac:dyDescent="0.3">
      <c r="I5151" s="1"/>
      <c r="S5151" s="1"/>
    </row>
    <row r="5152" spans="9:19" x14ac:dyDescent="0.3">
      <c r="I5152" s="1"/>
      <c r="S5152" s="1"/>
    </row>
    <row r="5153" spans="9:19" x14ac:dyDescent="0.3">
      <c r="I5153" s="1"/>
      <c r="S5153" s="1"/>
    </row>
    <row r="5154" spans="9:19" x14ac:dyDescent="0.3">
      <c r="I5154" s="1"/>
      <c r="S5154" s="1"/>
    </row>
    <row r="5155" spans="9:19" x14ac:dyDescent="0.3">
      <c r="I5155" s="1"/>
      <c r="S5155" s="1"/>
    </row>
    <row r="5156" spans="9:19" x14ac:dyDescent="0.3">
      <c r="I5156" s="1"/>
      <c r="S5156" s="1"/>
    </row>
    <row r="5157" spans="9:19" x14ac:dyDescent="0.3">
      <c r="I5157" s="1"/>
      <c r="S5157" s="1"/>
    </row>
    <row r="5158" spans="9:19" x14ac:dyDescent="0.3">
      <c r="I5158" s="1"/>
      <c r="S5158" s="1"/>
    </row>
    <row r="5159" spans="9:19" x14ac:dyDescent="0.3">
      <c r="I5159" s="1"/>
      <c r="S5159" s="1"/>
    </row>
    <row r="5160" spans="9:19" x14ac:dyDescent="0.3">
      <c r="I5160" s="1"/>
      <c r="S5160" s="1"/>
    </row>
    <row r="5161" spans="9:19" x14ac:dyDescent="0.3">
      <c r="I5161" s="1"/>
      <c r="S5161" s="1"/>
    </row>
    <row r="5162" spans="9:19" x14ac:dyDescent="0.3">
      <c r="I5162" s="1"/>
      <c r="S5162" s="1"/>
    </row>
    <row r="5163" spans="9:19" x14ac:dyDescent="0.3">
      <c r="I5163" s="1"/>
      <c r="S5163" s="1"/>
    </row>
    <row r="5164" spans="9:19" x14ac:dyDescent="0.3">
      <c r="I5164" s="1"/>
      <c r="S5164" s="1"/>
    </row>
    <row r="5165" spans="9:19" x14ac:dyDescent="0.3">
      <c r="I5165" s="1"/>
      <c r="S5165" s="1"/>
    </row>
    <row r="5166" spans="9:19" x14ac:dyDescent="0.3">
      <c r="I5166" s="1"/>
      <c r="S5166" s="1"/>
    </row>
    <row r="5167" spans="9:19" x14ac:dyDescent="0.3">
      <c r="I5167" s="1"/>
      <c r="S5167" s="1"/>
    </row>
    <row r="5168" spans="9:19" x14ac:dyDescent="0.3">
      <c r="I5168" s="1"/>
      <c r="S5168" s="1"/>
    </row>
    <row r="5169" spans="9:19" x14ac:dyDescent="0.3">
      <c r="I5169" s="1"/>
      <c r="S5169" s="1"/>
    </row>
    <row r="5170" spans="9:19" x14ac:dyDescent="0.3">
      <c r="I5170" s="1"/>
      <c r="S5170" s="1"/>
    </row>
    <row r="5171" spans="9:19" x14ac:dyDescent="0.3">
      <c r="I5171" s="1"/>
      <c r="S5171" s="1"/>
    </row>
    <row r="5172" spans="9:19" x14ac:dyDescent="0.3">
      <c r="I5172" s="1"/>
      <c r="S5172" s="1"/>
    </row>
    <row r="5173" spans="9:19" x14ac:dyDescent="0.3">
      <c r="I5173" s="1"/>
      <c r="S5173" s="1"/>
    </row>
    <row r="5174" spans="9:19" x14ac:dyDescent="0.3">
      <c r="I5174" s="1"/>
      <c r="S5174" s="1"/>
    </row>
    <row r="5175" spans="9:19" x14ac:dyDescent="0.3">
      <c r="I5175" s="1"/>
      <c r="S5175" s="1"/>
    </row>
    <row r="5176" spans="9:19" x14ac:dyDescent="0.3">
      <c r="I5176" s="1"/>
      <c r="S5176" s="1"/>
    </row>
    <row r="5177" spans="9:19" x14ac:dyDescent="0.3">
      <c r="I5177" s="1"/>
      <c r="S5177" s="1"/>
    </row>
    <row r="5178" spans="9:19" x14ac:dyDescent="0.3">
      <c r="I5178" s="1"/>
      <c r="S5178" s="1"/>
    </row>
    <row r="5179" spans="9:19" x14ac:dyDescent="0.3">
      <c r="I5179" s="1"/>
      <c r="S5179" s="1"/>
    </row>
    <row r="5180" spans="9:19" x14ac:dyDescent="0.3">
      <c r="I5180" s="1"/>
      <c r="S5180" s="1"/>
    </row>
    <row r="5181" spans="9:19" x14ac:dyDescent="0.3">
      <c r="I5181" s="1"/>
      <c r="S5181" s="1"/>
    </row>
    <row r="5182" spans="9:19" x14ac:dyDescent="0.3">
      <c r="I5182" s="1"/>
      <c r="S5182" s="1"/>
    </row>
    <row r="5183" spans="9:19" x14ac:dyDescent="0.3">
      <c r="I5183" s="1"/>
      <c r="S5183" s="1"/>
    </row>
    <row r="5184" spans="9:19" x14ac:dyDescent="0.3">
      <c r="I5184" s="1"/>
      <c r="S5184" s="1"/>
    </row>
    <row r="5185" spans="9:19" x14ac:dyDescent="0.3">
      <c r="I5185" s="1"/>
      <c r="S5185" s="1"/>
    </row>
    <row r="5186" spans="9:19" x14ac:dyDescent="0.3">
      <c r="I5186" s="1"/>
      <c r="S5186" s="1"/>
    </row>
    <row r="5187" spans="9:19" x14ac:dyDescent="0.3">
      <c r="I5187" s="1"/>
      <c r="S5187" s="1"/>
    </row>
    <row r="5188" spans="9:19" x14ac:dyDescent="0.3">
      <c r="I5188" s="1"/>
      <c r="S5188" s="1"/>
    </row>
    <row r="5189" spans="9:19" x14ac:dyDescent="0.3">
      <c r="I5189" s="1"/>
      <c r="S5189" s="1"/>
    </row>
    <row r="5190" spans="9:19" x14ac:dyDescent="0.3">
      <c r="I5190" s="1"/>
      <c r="S5190" s="1"/>
    </row>
    <row r="5191" spans="9:19" x14ac:dyDescent="0.3">
      <c r="I5191" s="1"/>
      <c r="S5191" s="1"/>
    </row>
    <row r="5192" spans="9:19" x14ac:dyDescent="0.3">
      <c r="I5192" s="1"/>
      <c r="S5192" s="1"/>
    </row>
    <row r="5193" spans="9:19" x14ac:dyDescent="0.3">
      <c r="I5193" s="1"/>
      <c r="S5193" s="1"/>
    </row>
    <row r="5194" spans="9:19" x14ac:dyDescent="0.3">
      <c r="I5194" s="1"/>
      <c r="S5194" s="1"/>
    </row>
    <row r="5195" spans="9:19" x14ac:dyDescent="0.3">
      <c r="I5195" s="1"/>
      <c r="S5195" s="1"/>
    </row>
    <row r="5196" spans="9:19" x14ac:dyDescent="0.3">
      <c r="I5196" s="1"/>
      <c r="S5196" s="1"/>
    </row>
    <row r="5197" spans="9:19" x14ac:dyDescent="0.3">
      <c r="I5197" s="1"/>
      <c r="S5197" s="1"/>
    </row>
    <row r="5198" spans="9:19" x14ac:dyDescent="0.3">
      <c r="I5198" s="1"/>
      <c r="S5198" s="1"/>
    </row>
    <row r="5199" spans="9:19" x14ac:dyDescent="0.3">
      <c r="I5199" s="1"/>
      <c r="S5199" s="1"/>
    </row>
    <row r="5200" spans="9:19" x14ac:dyDescent="0.3">
      <c r="I5200" s="1"/>
      <c r="S5200" s="1"/>
    </row>
    <row r="5201" spans="9:19" x14ac:dyDescent="0.3">
      <c r="I5201" s="1"/>
      <c r="S5201" s="1"/>
    </row>
    <row r="5202" spans="9:19" x14ac:dyDescent="0.3">
      <c r="I5202" s="1"/>
      <c r="S5202" s="1"/>
    </row>
    <row r="5203" spans="9:19" x14ac:dyDescent="0.3">
      <c r="I5203" s="1"/>
      <c r="S5203" s="1"/>
    </row>
    <row r="5204" spans="9:19" x14ac:dyDescent="0.3">
      <c r="I5204" s="1"/>
      <c r="S5204" s="1"/>
    </row>
    <row r="5205" spans="9:19" x14ac:dyDescent="0.3">
      <c r="I5205" s="1"/>
      <c r="S5205" s="1"/>
    </row>
    <row r="5206" spans="9:19" x14ac:dyDescent="0.3">
      <c r="I5206" s="1"/>
      <c r="S5206" s="1"/>
    </row>
    <row r="5207" spans="9:19" x14ac:dyDescent="0.3">
      <c r="I5207" s="1"/>
      <c r="S5207" s="1"/>
    </row>
    <row r="5208" spans="9:19" x14ac:dyDescent="0.3">
      <c r="I5208" s="1"/>
      <c r="S5208" s="1"/>
    </row>
    <row r="5209" spans="9:19" x14ac:dyDescent="0.3">
      <c r="I5209" s="1"/>
      <c r="S5209" s="1"/>
    </row>
    <row r="5210" spans="9:19" x14ac:dyDescent="0.3">
      <c r="I5210" s="1"/>
      <c r="S5210" s="1"/>
    </row>
    <row r="5211" spans="9:19" x14ac:dyDescent="0.3">
      <c r="I5211" s="1"/>
      <c r="S5211" s="1"/>
    </row>
    <row r="5212" spans="9:19" x14ac:dyDescent="0.3">
      <c r="I5212" s="1"/>
      <c r="S5212" s="1"/>
    </row>
    <row r="5213" spans="9:19" x14ac:dyDescent="0.3">
      <c r="I5213" s="1"/>
      <c r="S5213" s="1"/>
    </row>
    <row r="5214" spans="9:19" x14ac:dyDescent="0.3">
      <c r="I5214" s="1"/>
      <c r="S5214" s="1"/>
    </row>
    <row r="5215" spans="9:19" x14ac:dyDescent="0.3">
      <c r="I5215" s="1"/>
      <c r="S5215" s="1"/>
    </row>
    <row r="5216" spans="9:19" x14ac:dyDescent="0.3">
      <c r="I5216" s="1"/>
      <c r="S5216" s="1"/>
    </row>
    <row r="5217" spans="9:19" x14ac:dyDescent="0.3">
      <c r="I5217" s="1"/>
      <c r="S5217" s="1"/>
    </row>
    <row r="5218" spans="9:19" x14ac:dyDescent="0.3">
      <c r="I5218" s="1"/>
      <c r="S5218" s="1"/>
    </row>
    <row r="5219" spans="9:19" x14ac:dyDescent="0.3">
      <c r="I5219" s="1"/>
      <c r="S5219" s="1"/>
    </row>
    <row r="5220" spans="9:19" x14ac:dyDescent="0.3">
      <c r="I5220" s="1"/>
      <c r="S5220" s="1"/>
    </row>
    <row r="5221" spans="9:19" x14ac:dyDescent="0.3">
      <c r="I5221" s="1"/>
      <c r="S5221" s="1"/>
    </row>
    <row r="5222" spans="9:19" x14ac:dyDescent="0.3">
      <c r="I5222" s="1"/>
      <c r="S5222" s="1"/>
    </row>
    <row r="5223" spans="9:19" x14ac:dyDescent="0.3">
      <c r="I5223" s="1"/>
      <c r="S5223" s="1"/>
    </row>
    <row r="5224" spans="9:19" x14ac:dyDescent="0.3">
      <c r="I5224" s="1"/>
      <c r="S5224" s="1"/>
    </row>
    <row r="5225" spans="9:19" x14ac:dyDescent="0.3">
      <c r="I5225" s="1"/>
      <c r="S5225" s="1"/>
    </row>
    <row r="5226" spans="9:19" x14ac:dyDescent="0.3">
      <c r="I5226" s="1"/>
      <c r="S5226" s="1"/>
    </row>
    <row r="5227" spans="9:19" x14ac:dyDescent="0.3">
      <c r="I5227" s="1"/>
      <c r="S5227" s="1"/>
    </row>
    <row r="5228" spans="9:19" x14ac:dyDescent="0.3">
      <c r="I5228" s="1"/>
      <c r="S5228" s="1"/>
    </row>
    <row r="5229" spans="9:19" x14ac:dyDescent="0.3">
      <c r="I5229" s="1"/>
      <c r="S5229" s="1"/>
    </row>
    <row r="5230" spans="9:19" x14ac:dyDescent="0.3">
      <c r="I5230" s="1"/>
      <c r="S5230" s="1"/>
    </row>
    <row r="5231" spans="9:19" x14ac:dyDescent="0.3">
      <c r="I5231" s="1"/>
      <c r="S5231" s="1"/>
    </row>
    <row r="5232" spans="9:19" x14ac:dyDescent="0.3">
      <c r="I5232" s="1"/>
      <c r="S5232" s="1"/>
    </row>
    <row r="5233" spans="9:19" x14ac:dyDescent="0.3">
      <c r="I5233" s="1"/>
      <c r="S5233" s="1"/>
    </row>
    <row r="5234" spans="9:19" x14ac:dyDescent="0.3">
      <c r="I5234" s="1"/>
      <c r="S5234" s="1"/>
    </row>
    <row r="5235" spans="9:19" x14ac:dyDescent="0.3">
      <c r="I5235" s="1"/>
      <c r="S5235" s="1"/>
    </row>
    <row r="5236" spans="9:19" x14ac:dyDescent="0.3">
      <c r="I5236" s="1"/>
      <c r="S5236" s="1"/>
    </row>
    <row r="5237" spans="9:19" x14ac:dyDescent="0.3">
      <c r="I5237" s="1"/>
      <c r="S5237" s="1"/>
    </row>
    <row r="5238" spans="9:19" x14ac:dyDescent="0.3">
      <c r="I5238" s="1"/>
      <c r="S5238" s="1"/>
    </row>
    <row r="5239" spans="9:19" x14ac:dyDescent="0.3">
      <c r="I5239" s="1"/>
      <c r="S5239" s="1"/>
    </row>
    <row r="5240" spans="9:19" x14ac:dyDescent="0.3">
      <c r="I5240" s="1"/>
      <c r="S5240" s="1"/>
    </row>
    <row r="5241" spans="9:19" x14ac:dyDescent="0.3">
      <c r="I5241" s="1"/>
      <c r="S5241" s="1"/>
    </row>
    <row r="5242" spans="9:19" x14ac:dyDescent="0.3">
      <c r="I5242" s="1"/>
      <c r="S5242" s="1"/>
    </row>
    <row r="5243" spans="9:19" x14ac:dyDescent="0.3">
      <c r="I5243" s="1"/>
      <c r="S5243" s="1"/>
    </row>
    <row r="5244" spans="9:19" x14ac:dyDescent="0.3">
      <c r="I5244" s="1"/>
      <c r="S5244" s="1"/>
    </row>
    <row r="5245" spans="9:19" x14ac:dyDescent="0.3">
      <c r="I5245" s="1"/>
      <c r="S5245" s="1"/>
    </row>
    <row r="5246" spans="9:19" x14ac:dyDescent="0.3">
      <c r="I5246" s="1"/>
      <c r="S5246" s="1"/>
    </row>
    <row r="5247" spans="9:19" x14ac:dyDescent="0.3">
      <c r="I5247" s="1"/>
      <c r="S5247" s="1"/>
    </row>
    <row r="5248" spans="9:19" x14ac:dyDescent="0.3">
      <c r="I5248" s="1"/>
      <c r="S5248" s="1"/>
    </row>
    <row r="5249" spans="9:19" x14ac:dyDescent="0.3">
      <c r="I5249" s="1"/>
      <c r="S5249" s="1"/>
    </row>
    <row r="5250" spans="9:19" x14ac:dyDescent="0.3">
      <c r="I5250" s="1"/>
      <c r="S5250" s="1"/>
    </row>
    <row r="5251" spans="9:19" x14ac:dyDescent="0.3">
      <c r="I5251" s="1"/>
      <c r="S5251" s="1"/>
    </row>
    <row r="5252" spans="9:19" x14ac:dyDescent="0.3">
      <c r="I5252" s="1"/>
      <c r="S5252" s="1"/>
    </row>
    <row r="5253" spans="9:19" x14ac:dyDescent="0.3">
      <c r="I5253" s="1"/>
      <c r="S5253" s="1"/>
    </row>
    <row r="5254" spans="9:19" x14ac:dyDescent="0.3">
      <c r="I5254" s="1"/>
      <c r="S5254" s="1"/>
    </row>
    <row r="5255" spans="9:19" x14ac:dyDescent="0.3">
      <c r="I5255" s="1"/>
      <c r="S5255" s="1"/>
    </row>
    <row r="5256" spans="9:19" x14ac:dyDescent="0.3">
      <c r="I5256" s="1"/>
      <c r="S5256" s="1"/>
    </row>
    <row r="5257" spans="9:19" x14ac:dyDescent="0.3">
      <c r="I5257" s="1"/>
      <c r="S5257" s="1"/>
    </row>
    <row r="5258" spans="9:19" x14ac:dyDescent="0.3">
      <c r="I5258" s="1"/>
      <c r="S5258" s="1"/>
    </row>
    <row r="5259" spans="9:19" x14ac:dyDescent="0.3">
      <c r="I5259" s="1"/>
      <c r="S5259" s="1"/>
    </row>
    <row r="5260" spans="9:19" x14ac:dyDescent="0.3">
      <c r="I5260" s="1"/>
      <c r="S5260" s="1"/>
    </row>
    <row r="5261" spans="9:19" x14ac:dyDescent="0.3">
      <c r="I5261" s="1"/>
      <c r="S5261" s="1"/>
    </row>
    <row r="5262" spans="9:19" x14ac:dyDescent="0.3">
      <c r="I5262" s="1"/>
      <c r="S5262" s="1"/>
    </row>
    <row r="5263" spans="9:19" x14ac:dyDescent="0.3">
      <c r="I5263" s="1"/>
      <c r="S5263" s="1"/>
    </row>
    <row r="5264" spans="9:19" x14ac:dyDescent="0.3">
      <c r="I5264" s="1"/>
      <c r="S5264" s="1"/>
    </row>
    <row r="5265" spans="9:19" x14ac:dyDescent="0.3">
      <c r="I5265" s="1"/>
      <c r="S5265" s="1"/>
    </row>
    <row r="5266" spans="9:19" x14ac:dyDescent="0.3">
      <c r="I5266" s="1"/>
      <c r="S5266" s="1"/>
    </row>
    <row r="5267" spans="9:19" x14ac:dyDescent="0.3">
      <c r="I5267" s="1"/>
      <c r="S5267" s="1"/>
    </row>
    <row r="5268" spans="9:19" x14ac:dyDescent="0.3">
      <c r="I5268" s="1"/>
      <c r="S5268" s="1"/>
    </row>
    <row r="5269" spans="9:19" x14ac:dyDescent="0.3">
      <c r="I5269" s="1"/>
      <c r="S5269" s="1"/>
    </row>
    <row r="5270" spans="9:19" x14ac:dyDescent="0.3">
      <c r="I5270" s="1"/>
      <c r="S5270" s="1"/>
    </row>
    <row r="5271" spans="9:19" x14ac:dyDescent="0.3">
      <c r="I5271" s="1"/>
      <c r="S5271" s="1"/>
    </row>
    <row r="5272" spans="9:19" x14ac:dyDescent="0.3">
      <c r="I5272" s="1"/>
      <c r="S5272" s="1"/>
    </row>
    <row r="5273" spans="9:19" x14ac:dyDescent="0.3">
      <c r="I5273" s="1"/>
      <c r="S5273" s="1"/>
    </row>
    <row r="5274" spans="9:19" x14ac:dyDescent="0.3">
      <c r="I5274" s="1"/>
      <c r="S5274" s="1"/>
    </row>
    <row r="5275" spans="9:19" x14ac:dyDescent="0.3">
      <c r="I5275" s="1"/>
      <c r="S5275" s="1"/>
    </row>
    <row r="5276" spans="9:19" x14ac:dyDescent="0.3">
      <c r="I5276" s="1"/>
      <c r="S5276" s="1"/>
    </row>
    <row r="5277" spans="9:19" x14ac:dyDescent="0.3">
      <c r="I5277" s="1"/>
      <c r="S5277" s="1"/>
    </row>
    <row r="5278" spans="9:19" x14ac:dyDescent="0.3">
      <c r="I5278" s="1"/>
      <c r="S5278" s="1"/>
    </row>
    <row r="5279" spans="9:19" x14ac:dyDescent="0.3">
      <c r="I5279" s="1"/>
      <c r="S5279" s="1"/>
    </row>
    <row r="5280" spans="9:19" x14ac:dyDescent="0.3">
      <c r="I5280" s="1"/>
      <c r="S5280" s="1"/>
    </row>
    <row r="5281" spans="9:19" x14ac:dyDescent="0.3">
      <c r="I5281" s="1"/>
      <c r="S5281" s="1"/>
    </row>
    <row r="5282" spans="9:19" x14ac:dyDescent="0.3">
      <c r="I5282" s="1"/>
      <c r="S5282" s="1"/>
    </row>
    <row r="5283" spans="9:19" x14ac:dyDescent="0.3">
      <c r="I5283" s="1"/>
      <c r="S5283" s="1"/>
    </row>
    <row r="5284" spans="9:19" x14ac:dyDescent="0.3">
      <c r="I5284" s="1"/>
      <c r="S5284" s="1"/>
    </row>
    <row r="5285" spans="9:19" x14ac:dyDescent="0.3">
      <c r="I5285" s="1"/>
      <c r="S5285" s="1"/>
    </row>
    <row r="5286" spans="9:19" x14ac:dyDescent="0.3">
      <c r="I5286" s="1"/>
      <c r="S5286" s="1"/>
    </row>
    <row r="5287" spans="9:19" x14ac:dyDescent="0.3">
      <c r="I5287" s="1"/>
      <c r="S5287" s="1"/>
    </row>
    <row r="5288" spans="9:19" x14ac:dyDescent="0.3">
      <c r="I5288" s="1"/>
      <c r="S5288" s="1"/>
    </row>
    <row r="5289" spans="9:19" x14ac:dyDescent="0.3">
      <c r="I5289" s="1"/>
      <c r="S5289" s="1"/>
    </row>
    <row r="5290" spans="9:19" x14ac:dyDescent="0.3">
      <c r="I5290" s="1"/>
      <c r="S5290" s="1"/>
    </row>
    <row r="5291" spans="9:19" x14ac:dyDescent="0.3">
      <c r="I5291" s="1"/>
      <c r="S5291" s="1"/>
    </row>
    <row r="5292" spans="9:19" x14ac:dyDescent="0.3">
      <c r="I5292" s="1"/>
      <c r="S5292" s="1"/>
    </row>
    <row r="5293" spans="9:19" x14ac:dyDescent="0.3">
      <c r="I5293" s="1"/>
      <c r="S5293" s="1"/>
    </row>
    <row r="5294" spans="9:19" x14ac:dyDescent="0.3">
      <c r="I5294" s="1"/>
      <c r="S5294" s="1"/>
    </row>
    <row r="5295" spans="9:19" x14ac:dyDescent="0.3">
      <c r="I5295" s="1"/>
      <c r="S5295" s="1"/>
    </row>
    <row r="5296" spans="9:19" x14ac:dyDescent="0.3">
      <c r="I5296" s="1"/>
      <c r="S5296" s="1"/>
    </row>
    <row r="5297" spans="9:19" x14ac:dyDescent="0.3">
      <c r="I5297" s="1"/>
      <c r="S5297" s="1"/>
    </row>
    <row r="5298" spans="9:19" x14ac:dyDescent="0.3">
      <c r="I5298" s="1"/>
      <c r="S5298" s="1"/>
    </row>
    <row r="5299" spans="9:19" x14ac:dyDescent="0.3">
      <c r="I5299" s="1"/>
      <c r="S5299" s="1"/>
    </row>
    <row r="5300" spans="9:19" x14ac:dyDescent="0.3">
      <c r="I5300" s="1"/>
      <c r="S5300" s="1"/>
    </row>
    <row r="5301" spans="9:19" x14ac:dyDescent="0.3">
      <c r="I5301" s="1"/>
      <c r="S5301" s="1"/>
    </row>
    <row r="5302" spans="9:19" x14ac:dyDescent="0.3">
      <c r="I5302" s="1"/>
      <c r="S5302" s="1"/>
    </row>
    <row r="5303" spans="9:19" x14ac:dyDescent="0.3">
      <c r="I5303" s="1"/>
      <c r="S5303" s="1"/>
    </row>
    <row r="5304" spans="9:19" x14ac:dyDescent="0.3">
      <c r="I5304" s="1"/>
      <c r="S5304" s="1"/>
    </row>
    <row r="5305" spans="9:19" x14ac:dyDescent="0.3">
      <c r="I5305" s="1"/>
      <c r="S5305" s="1"/>
    </row>
    <row r="5306" spans="9:19" x14ac:dyDescent="0.3">
      <c r="I5306" s="1"/>
      <c r="S5306" s="1"/>
    </row>
    <row r="5307" spans="9:19" x14ac:dyDescent="0.3">
      <c r="I5307" s="1"/>
      <c r="S5307" s="1"/>
    </row>
    <row r="5308" spans="9:19" x14ac:dyDescent="0.3">
      <c r="I5308" s="1"/>
      <c r="S5308" s="1"/>
    </row>
    <row r="5309" spans="9:19" x14ac:dyDescent="0.3">
      <c r="I5309" s="1"/>
      <c r="S5309" s="1"/>
    </row>
    <row r="5310" spans="9:19" x14ac:dyDescent="0.3">
      <c r="I5310" s="1"/>
      <c r="S5310" s="1"/>
    </row>
    <row r="5311" spans="9:19" x14ac:dyDescent="0.3">
      <c r="I5311" s="1"/>
      <c r="S5311" s="1"/>
    </row>
    <row r="5312" spans="9:19" x14ac:dyDescent="0.3">
      <c r="I5312" s="1"/>
      <c r="S5312" s="1"/>
    </row>
    <row r="5313" spans="9:19" x14ac:dyDescent="0.3">
      <c r="I5313" s="1"/>
      <c r="S5313" s="1"/>
    </row>
    <row r="5314" spans="9:19" x14ac:dyDescent="0.3">
      <c r="I5314" s="1"/>
      <c r="S5314" s="1"/>
    </row>
    <row r="5315" spans="9:19" x14ac:dyDescent="0.3">
      <c r="I5315" s="1"/>
      <c r="S5315" s="1"/>
    </row>
    <row r="5316" spans="9:19" x14ac:dyDescent="0.3">
      <c r="I5316" s="1"/>
      <c r="S5316" s="1"/>
    </row>
    <row r="5317" spans="9:19" x14ac:dyDescent="0.3">
      <c r="I5317" s="1"/>
      <c r="S5317" s="1"/>
    </row>
    <row r="5318" spans="9:19" x14ac:dyDescent="0.3">
      <c r="I5318" s="1"/>
      <c r="S5318" s="1"/>
    </row>
    <row r="5319" spans="9:19" x14ac:dyDescent="0.3">
      <c r="I5319" s="1"/>
      <c r="S5319" s="1"/>
    </row>
    <row r="5320" spans="9:19" x14ac:dyDescent="0.3">
      <c r="I5320" s="1"/>
      <c r="S5320" s="1"/>
    </row>
    <row r="5321" spans="9:19" x14ac:dyDescent="0.3">
      <c r="I5321" s="1"/>
      <c r="S5321" s="1"/>
    </row>
    <row r="5322" spans="9:19" x14ac:dyDescent="0.3">
      <c r="I5322" s="1"/>
      <c r="S5322" s="1"/>
    </row>
    <row r="5323" spans="9:19" x14ac:dyDescent="0.3">
      <c r="I5323" s="1"/>
      <c r="S5323" s="1"/>
    </row>
    <row r="5324" spans="9:19" x14ac:dyDescent="0.3">
      <c r="I5324" s="1"/>
      <c r="S5324" s="1"/>
    </row>
    <row r="5325" spans="9:19" x14ac:dyDescent="0.3">
      <c r="I5325" s="1"/>
      <c r="S5325" s="1"/>
    </row>
    <row r="5326" spans="9:19" x14ac:dyDescent="0.3">
      <c r="I5326" s="1"/>
      <c r="S5326" s="1"/>
    </row>
    <row r="5327" spans="9:19" x14ac:dyDescent="0.3">
      <c r="I5327" s="1"/>
      <c r="S5327" s="1"/>
    </row>
    <row r="5328" spans="9:19" x14ac:dyDescent="0.3">
      <c r="I5328" s="1"/>
      <c r="S5328" s="1"/>
    </row>
    <row r="5329" spans="9:19" x14ac:dyDescent="0.3">
      <c r="I5329" s="1"/>
      <c r="S5329" s="1"/>
    </row>
    <row r="5330" spans="9:19" x14ac:dyDescent="0.3">
      <c r="I5330" s="1"/>
      <c r="S5330" s="1"/>
    </row>
    <row r="5331" spans="9:19" x14ac:dyDescent="0.3">
      <c r="I5331" s="1"/>
      <c r="S5331" s="1"/>
    </row>
    <row r="5332" spans="9:19" x14ac:dyDescent="0.3">
      <c r="I5332" s="1"/>
      <c r="S5332" s="1"/>
    </row>
    <row r="5333" spans="9:19" x14ac:dyDescent="0.3">
      <c r="I5333" s="1"/>
      <c r="S5333" s="1"/>
    </row>
    <row r="5334" spans="9:19" x14ac:dyDescent="0.3">
      <c r="I5334" s="1"/>
      <c r="S5334" s="1"/>
    </row>
    <row r="5335" spans="9:19" x14ac:dyDescent="0.3">
      <c r="I5335" s="1"/>
      <c r="S5335" s="1"/>
    </row>
    <row r="5336" spans="9:19" x14ac:dyDescent="0.3">
      <c r="I5336" s="1"/>
      <c r="S5336" s="1"/>
    </row>
    <row r="5337" spans="9:19" x14ac:dyDescent="0.3">
      <c r="I5337" s="1"/>
      <c r="S5337" s="1"/>
    </row>
    <row r="5338" spans="9:19" x14ac:dyDescent="0.3">
      <c r="I5338" s="1"/>
      <c r="S5338" s="1"/>
    </row>
    <row r="5339" spans="9:19" x14ac:dyDescent="0.3">
      <c r="I5339" s="1"/>
      <c r="S5339" s="1"/>
    </row>
    <row r="5340" spans="9:19" x14ac:dyDescent="0.3">
      <c r="I5340" s="1"/>
      <c r="S5340" s="1"/>
    </row>
    <row r="5341" spans="9:19" x14ac:dyDescent="0.3">
      <c r="I5341" s="1"/>
      <c r="S5341" s="1"/>
    </row>
    <row r="5342" spans="9:19" x14ac:dyDescent="0.3">
      <c r="I5342" s="1"/>
      <c r="S5342" s="1"/>
    </row>
    <row r="5343" spans="9:19" x14ac:dyDescent="0.3">
      <c r="I5343" s="1"/>
      <c r="S5343" s="1"/>
    </row>
    <row r="5344" spans="9:19" x14ac:dyDescent="0.3">
      <c r="I5344" s="1"/>
      <c r="S5344" s="1"/>
    </row>
    <row r="5345" spans="9:19" x14ac:dyDescent="0.3">
      <c r="I5345" s="1"/>
      <c r="S5345" s="1"/>
    </row>
    <row r="5346" spans="9:19" x14ac:dyDescent="0.3">
      <c r="I5346" s="1"/>
      <c r="S5346" s="1"/>
    </row>
    <row r="5347" spans="9:19" x14ac:dyDescent="0.3">
      <c r="I5347" s="1"/>
      <c r="S5347" s="1"/>
    </row>
    <row r="5348" spans="9:19" x14ac:dyDescent="0.3">
      <c r="I5348" s="1"/>
      <c r="S5348" s="1"/>
    </row>
    <row r="5349" spans="9:19" x14ac:dyDescent="0.3">
      <c r="I5349" s="1"/>
      <c r="S5349" s="1"/>
    </row>
    <row r="5350" spans="9:19" x14ac:dyDescent="0.3">
      <c r="I5350" s="1"/>
      <c r="S5350" s="1"/>
    </row>
    <row r="5351" spans="9:19" x14ac:dyDescent="0.3">
      <c r="I5351" s="1"/>
      <c r="S5351" s="1"/>
    </row>
    <row r="5352" spans="9:19" x14ac:dyDescent="0.3">
      <c r="I5352" s="1"/>
      <c r="S5352" s="1"/>
    </row>
    <row r="5353" spans="9:19" x14ac:dyDescent="0.3">
      <c r="I5353" s="1"/>
      <c r="S5353" s="1"/>
    </row>
    <row r="5354" spans="9:19" x14ac:dyDescent="0.3">
      <c r="I5354" s="1"/>
      <c r="S5354" s="1"/>
    </row>
    <row r="5355" spans="9:19" x14ac:dyDescent="0.3">
      <c r="I5355" s="1"/>
      <c r="S5355" s="1"/>
    </row>
    <row r="5356" spans="9:19" x14ac:dyDescent="0.3">
      <c r="I5356" s="1"/>
      <c r="S5356" s="1"/>
    </row>
    <row r="5357" spans="9:19" x14ac:dyDescent="0.3">
      <c r="I5357" s="1"/>
      <c r="S5357" s="1"/>
    </row>
    <row r="5358" spans="9:19" x14ac:dyDescent="0.3">
      <c r="I5358" s="1"/>
      <c r="S5358" s="1"/>
    </row>
    <row r="5359" spans="9:19" x14ac:dyDescent="0.3">
      <c r="I5359" s="1"/>
      <c r="S5359" s="1"/>
    </row>
    <row r="5360" spans="9:19" x14ac:dyDescent="0.3">
      <c r="I5360" s="1"/>
      <c r="S5360" s="1"/>
    </row>
    <row r="5361" spans="9:19" x14ac:dyDescent="0.3">
      <c r="I5361" s="1"/>
      <c r="S5361" s="1"/>
    </row>
    <row r="5362" spans="9:19" x14ac:dyDescent="0.3">
      <c r="I5362" s="1"/>
      <c r="S5362" s="1"/>
    </row>
    <row r="5363" spans="9:19" x14ac:dyDescent="0.3">
      <c r="I5363" s="1"/>
      <c r="S5363" s="1"/>
    </row>
    <row r="5364" spans="9:19" x14ac:dyDescent="0.3">
      <c r="I5364" s="1"/>
      <c r="S5364" s="1"/>
    </row>
    <row r="5365" spans="9:19" x14ac:dyDescent="0.3">
      <c r="I5365" s="1"/>
      <c r="S5365" s="1"/>
    </row>
    <row r="5366" spans="9:19" x14ac:dyDescent="0.3">
      <c r="I5366" s="1"/>
      <c r="S5366" s="1"/>
    </row>
    <row r="5367" spans="9:19" x14ac:dyDescent="0.3">
      <c r="I5367" s="1"/>
      <c r="S5367" s="1"/>
    </row>
    <row r="5368" spans="9:19" x14ac:dyDescent="0.3">
      <c r="I5368" s="1"/>
      <c r="S5368" s="1"/>
    </row>
    <row r="5369" spans="9:19" x14ac:dyDescent="0.3">
      <c r="I5369" s="1"/>
      <c r="S5369" s="1"/>
    </row>
    <row r="5370" spans="9:19" x14ac:dyDescent="0.3">
      <c r="I5370" s="1"/>
      <c r="S5370" s="1"/>
    </row>
    <row r="5371" spans="9:19" x14ac:dyDescent="0.3">
      <c r="I5371" s="1"/>
      <c r="S5371" s="1"/>
    </row>
    <row r="5372" spans="9:19" x14ac:dyDescent="0.3">
      <c r="I5372" s="1"/>
      <c r="S5372" s="1"/>
    </row>
    <row r="5373" spans="9:19" x14ac:dyDescent="0.3">
      <c r="I5373" s="1"/>
      <c r="S5373" s="1"/>
    </row>
    <row r="5374" spans="9:19" x14ac:dyDescent="0.3">
      <c r="I5374" s="1"/>
      <c r="S5374" s="1"/>
    </row>
    <row r="5375" spans="9:19" x14ac:dyDescent="0.3">
      <c r="I5375" s="1"/>
      <c r="S5375" s="1"/>
    </row>
    <row r="5376" spans="9:19" x14ac:dyDescent="0.3">
      <c r="I5376" s="1"/>
      <c r="S5376" s="1"/>
    </row>
    <row r="5377" spans="9:19" x14ac:dyDescent="0.3">
      <c r="I5377" s="1"/>
      <c r="S5377" s="1"/>
    </row>
    <row r="5378" spans="9:19" x14ac:dyDescent="0.3">
      <c r="I5378" s="1"/>
      <c r="S5378" s="1"/>
    </row>
    <row r="5379" spans="9:19" x14ac:dyDescent="0.3">
      <c r="I5379" s="1"/>
      <c r="S5379" s="1"/>
    </row>
    <row r="5380" spans="9:19" x14ac:dyDescent="0.3">
      <c r="I5380" s="1"/>
      <c r="S5380" s="1"/>
    </row>
    <row r="5381" spans="9:19" x14ac:dyDescent="0.3">
      <c r="I5381" s="1"/>
      <c r="S5381" s="1"/>
    </row>
    <row r="5382" spans="9:19" x14ac:dyDescent="0.3">
      <c r="I5382" s="1"/>
      <c r="S5382" s="1"/>
    </row>
    <row r="5383" spans="9:19" x14ac:dyDescent="0.3">
      <c r="I5383" s="1"/>
      <c r="S5383" s="1"/>
    </row>
    <row r="5384" spans="9:19" x14ac:dyDescent="0.3">
      <c r="I5384" s="1"/>
      <c r="S5384" s="1"/>
    </row>
    <row r="5385" spans="9:19" x14ac:dyDescent="0.3">
      <c r="I5385" s="1"/>
      <c r="S5385" s="1"/>
    </row>
    <row r="5386" spans="9:19" x14ac:dyDescent="0.3">
      <c r="I5386" s="1"/>
      <c r="S5386" s="1"/>
    </row>
    <row r="5387" spans="9:19" x14ac:dyDescent="0.3">
      <c r="I5387" s="1"/>
      <c r="S5387" s="1"/>
    </row>
    <row r="5388" spans="9:19" x14ac:dyDescent="0.3">
      <c r="I5388" s="1"/>
      <c r="S5388" s="1"/>
    </row>
    <row r="5389" spans="9:19" x14ac:dyDescent="0.3">
      <c r="I5389" s="1"/>
      <c r="S5389" s="1"/>
    </row>
    <row r="5390" spans="9:19" x14ac:dyDescent="0.3">
      <c r="I5390" s="1"/>
      <c r="S5390" s="1"/>
    </row>
    <row r="5391" spans="9:19" x14ac:dyDescent="0.3">
      <c r="I5391" s="1"/>
      <c r="S5391" s="1"/>
    </row>
    <row r="5392" spans="9:19" x14ac:dyDescent="0.3">
      <c r="I5392" s="1"/>
      <c r="S5392" s="1"/>
    </row>
    <row r="5393" spans="9:19" x14ac:dyDescent="0.3">
      <c r="I5393" s="1"/>
      <c r="S5393" s="1"/>
    </row>
    <row r="5394" spans="9:19" x14ac:dyDescent="0.3">
      <c r="I5394" s="1"/>
      <c r="S5394" s="1"/>
    </row>
    <row r="5395" spans="9:19" x14ac:dyDescent="0.3">
      <c r="I5395" s="1"/>
      <c r="S5395" s="1"/>
    </row>
    <row r="5396" spans="9:19" x14ac:dyDescent="0.3">
      <c r="I5396" s="1"/>
      <c r="S5396" s="1"/>
    </row>
    <row r="5397" spans="9:19" x14ac:dyDescent="0.3">
      <c r="I5397" s="1"/>
      <c r="S5397" s="1"/>
    </row>
    <row r="5398" spans="9:19" x14ac:dyDescent="0.3">
      <c r="I5398" s="1"/>
      <c r="S5398" s="1"/>
    </row>
    <row r="5399" spans="9:19" x14ac:dyDescent="0.3">
      <c r="I5399" s="1"/>
      <c r="S5399" s="1"/>
    </row>
    <row r="5400" spans="9:19" x14ac:dyDescent="0.3">
      <c r="I5400" s="1"/>
      <c r="S5400" s="1"/>
    </row>
    <row r="5401" spans="9:19" x14ac:dyDescent="0.3">
      <c r="I5401" s="1"/>
      <c r="S5401" s="1"/>
    </row>
    <row r="5402" spans="9:19" x14ac:dyDescent="0.3">
      <c r="I5402" s="1"/>
      <c r="S5402" s="1"/>
    </row>
    <row r="5403" spans="9:19" x14ac:dyDescent="0.3">
      <c r="I5403" s="1"/>
      <c r="S5403" s="1"/>
    </row>
    <row r="5404" spans="9:19" x14ac:dyDescent="0.3">
      <c r="I5404" s="1"/>
      <c r="S5404" s="1"/>
    </row>
    <row r="5405" spans="9:19" x14ac:dyDescent="0.3">
      <c r="I5405" s="1"/>
      <c r="S5405" s="1"/>
    </row>
    <row r="5406" spans="9:19" x14ac:dyDescent="0.3">
      <c r="I5406" s="1"/>
      <c r="S5406" s="1"/>
    </row>
    <row r="5407" spans="9:19" x14ac:dyDescent="0.3">
      <c r="I5407" s="1"/>
      <c r="S5407" s="1"/>
    </row>
    <row r="5408" spans="9:19" x14ac:dyDescent="0.3">
      <c r="I5408" s="1"/>
      <c r="S5408" s="1"/>
    </row>
    <row r="5409" spans="9:19" x14ac:dyDescent="0.3">
      <c r="I5409" s="1"/>
      <c r="S5409" s="1"/>
    </row>
    <row r="5410" spans="9:19" x14ac:dyDescent="0.3">
      <c r="I5410" s="1"/>
      <c r="S5410" s="1"/>
    </row>
    <row r="5411" spans="9:19" x14ac:dyDescent="0.3">
      <c r="I5411" s="1"/>
      <c r="S5411" s="1"/>
    </row>
    <row r="5412" spans="9:19" x14ac:dyDescent="0.3">
      <c r="I5412" s="1"/>
      <c r="S5412" s="1"/>
    </row>
    <row r="5413" spans="9:19" x14ac:dyDescent="0.3">
      <c r="I5413" s="1"/>
      <c r="S5413" s="1"/>
    </row>
    <row r="5414" spans="9:19" x14ac:dyDescent="0.3">
      <c r="I5414" s="1"/>
      <c r="S5414" s="1"/>
    </row>
    <row r="5415" spans="9:19" x14ac:dyDescent="0.3">
      <c r="I5415" s="1"/>
      <c r="S5415" s="1"/>
    </row>
    <row r="5416" spans="9:19" x14ac:dyDescent="0.3">
      <c r="I5416" s="1"/>
      <c r="S5416" s="1"/>
    </row>
    <row r="5417" spans="9:19" x14ac:dyDescent="0.3">
      <c r="I5417" s="1"/>
      <c r="S5417" s="1"/>
    </row>
    <row r="5418" spans="9:19" x14ac:dyDescent="0.3">
      <c r="I5418" s="1"/>
      <c r="S5418" s="1"/>
    </row>
    <row r="5419" spans="9:19" x14ac:dyDescent="0.3">
      <c r="I5419" s="1"/>
      <c r="S5419" s="1"/>
    </row>
    <row r="5420" spans="9:19" x14ac:dyDescent="0.3">
      <c r="I5420" s="1"/>
      <c r="S5420" s="1"/>
    </row>
    <row r="5421" spans="9:19" x14ac:dyDescent="0.3">
      <c r="I5421" s="1"/>
      <c r="S5421" s="1"/>
    </row>
    <row r="5422" spans="9:19" x14ac:dyDescent="0.3">
      <c r="I5422" s="1"/>
      <c r="S5422" s="1"/>
    </row>
    <row r="5423" spans="9:19" x14ac:dyDescent="0.3">
      <c r="I5423" s="1"/>
      <c r="S5423" s="1"/>
    </row>
    <row r="5424" spans="9:19" x14ac:dyDescent="0.3">
      <c r="I5424" s="1"/>
      <c r="S5424" s="1"/>
    </row>
    <row r="5425" spans="9:19" x14ac:dyDescent="0.3">
      <c r="I5425" s="1"/>
      <c r="S5425" s="1"/>
    </row>
    <row r="5426" spans="9:19" x14ac:dyDescent="0.3">
      <c r="I5426" s="1"/>
      <c r="S5426" s="1"/>
    </row>
    <row r="5427" spans="9:19" x14ac:dyDescent="0.3">
      <c r="I5427" s="1"/>
      <c r="S5427" s="1"/>
    </row>
    <row r="5428" spans="9:19" x14ac:dyDescent="0.3">
      <c r="I5428" s="1"/>
      <c r="S5428" s="1"/>
    </row>
    <row r="5429" spans="9:19" x14ac:dyDescent="0.3">
      <c r="I5429" s="1"/>
      <c r="S5429" s="1"/>
    </row>
    <row r="5430" spans="9:19" x14ac:dyDescent="0.3">
      <c r="I5430" s="1"/>
      <c r="S5430" s="1"/>
    </row>
    <row r="5431" spans="9:19" x14ac:dyDescent="0.3">
      <c r="I5431" s="1"/>
      <c r="S5431" s="1"/>
    </row>
    <row r="5432" spans="9:19" x14ac:dyDescent="0.3">
      <c r="I5432" s="1"/>
      <c r="S5432" s="1"/>
    </row>
    <row r="5433" spans="9:19" x14ac:dyDescent="0.3">
      <c r="I5433" s="1"/>
      <c r="S5433" s="1"/>
    </row>
    <row r="5434" spans="9:19" x14ac:dyDescent="0.3">
      <c r="I5434" s="1"/>
      <c r="S5434" s="1"/>
    </row>
    <row r="5435" spans="9:19" x14ac:dyDescent="0.3">
      <c r="I5435" s="1"/>
      <c r="S5435" s="1"/>
    </row>
    <row r="5436" spans="9:19" x14ac:dyDescent="0.3">
      <c r="I5436" s="1"/>
      <c r="S5436" s="1"/>
    </row>
    <row r="5437" spans="9:19" x14ac:dyDescent="0.3">
      <c r="I5437" s="1"/>
      <c r="S5437" s="1"/>
    </row>
    <row r="5438" spans="9:19" x14ac:dyDescent="0.3">
      <c r="I5438" s="1"/>
      <c r="S5438" s="1"/>
    </row>
    <row r="5439" spans="9:19" x14ac:dyDescent="0.3">
      <c r="I5439" s="1"/>
      <c r="S5439" s="1"/>
    </row>
    <row r="5440" spans="9:19" x14ac:dyDescent="0.3">
      <c r="I5440" s="1"/>
      <c r="S5440" s="1"/>
    </row>
    <row r="5441" spans="9:19" x14ac:dyDescent="0.3">
      <c r="I5441" s="1"/>
      <c r="S5441" s="1"/>
    </row>
    <row r="5442" spans="9:19" x14ac:dyDescent="0.3">
      <c r="I5442" s="1"/>
      <c r="S5442" s="1"/>
    </row>
    <row r="5443" spans="9:19" x14ac:dyDescent="0.3">
      <c r="I5443" s="1"/>
      <c r="S5443" s="1"/>
    </row>
    <row r="5444" spans="9:19" x14ac:dyDescent="0.3">
      <c r="I5444" s="1"/>
      <c r="S5444" s="1"/>
    </row>
    <row r="5445" spans="9:19" x14ac:dyDescent="0.3">
      <c r="I5445" s="1"/>
      <c r="S5445" s="1"/>
    </row>
    <row r="5446" spans="9:19" x14ac:dyDescent="0.3">
      <c r="I5446" s="1"/>
      <c r="S5446" s="1"/>
    </row>
    <row r="5447" spans="9:19" x14ac:dyDescent="0.3">
      <c r="I5447" s="1"/>
      <c r="S5447" s="1"/>
    </row>
    <row r="5448" spans="9:19" x14ac:dyDescent="0.3">
      <c r="I5448" s="1"/>
      <c r="S5448" s="1"/>
    </row>
    <row r="5449" spans="9:19" x14ac:dyDescent="0.3">
      <c r="I5449" s="1"/>
      <c r="S5449" s="1"/>
    </row>
    <row r="5450" spans="9:19" x14ac:dyDescent="0.3">
      <c r="I5450" s="1"/>
      <c r="S5450" s="1"/>
    </row>
    <row r="5451" spans="9:19" x14ac:dyDescent="0.3">
      <c r="I5451" s="1"/>
      <c r="S5451" s="1"/>
    </row>
    <row r="5452" spans="9:19" x14ac:dyDescent="0.3">
      <c r="I5452" s="1"/>
      <c r="S5452" s="1"/>
    </row>
    <row r="5453" spans="9:19" x14ac:dyDescent="0.3">
      <c r="I5453" s="1"/>
      <c r="S5453" s="1"/>
    </row>
    <row r="5454" spans="9:19" x14ac:dyDescent="0.3">
      <c r="I5454" s="1"/>
      <c r="S5454" s="1"/>
    </row>
    <row r="5455" spans="9:19" x14ac:dyDescent="0.3">
      <c r="I5455" s="1"/>
      <c r="S5455" s="1"/>
    </row>
    <row r="5456" spans="9:19" x14ac:dyDescent="0.3">
      <c r="I5456" s="1"/>
      <c r="S5456" s="1"/>
    </row>
    <row r="5457" spans="9:19" x14ac:dyDescent="0.3">
      <c r="I5457" s="1"/>
      <c r="S5457" s="1"/>
    </row>
    <row r="5458" spans="9:19" x14ac:dyDescent="0.3">
      <c r="I5458" s="1"/>
      <c r="S5458" s="1"/>
    </row>
    <row r="5459" spans="9:19" x14ac:dyDescent="0.3">
      <c r="I5459" s="1"/>
      <c r="S5459" s="1"/>
    </row>
    <row r="5460" spans="9:19" x14ac:dyDescent="0.3">
      <c r="I5460" s="1"/>
      <c r="S5460" s="1"/>
    </row>
    <row r="5461" spans="9:19" x14ac:dyDescent="0.3">
      <c r="I5461" s="1"/>
      <c r="S5461" s="1"/>
    </row>
    <row r="5462" spans="9:19" x14ac:dyDescent="0.3">
      <c r="I5462" s="1"/>
      <c r="S5462" s="1"/>
    </row>
    <row r="5463" spans="9:19" x14ac:dyDescent="0.3">
      <c r="I5463" s="1"/>
      <c r="S5463" s="1"/>
    </row>
    <row r="5464" spans="9:19" x14ac:dyDescent="0.3">
      <c r="I5464" s="1"/>
      <c r="S5464" s="1"/>
    </row>
    <row r="5465" spans="9:19" x14ac:dyDescent="0.3">
      <c r="I5465" s="1"/>
      <c r="S5465" s="1"/>
    </row>
    <row r="5466" spans="9:19" x14ac:dyDescent="0.3">
      <c r="I5466" s="1"/>
      <c r="S5466" s="1"/>
    </row>
    <row r="5467" spans="9:19" x14ac:dyDescent="0.3">
      <c r="I5467" s="1"/>
      <c r="S5467" s="1"/>
    </row>
    <row r="5468" spans="9:19" x14ac:dyDescent="0.3">
      <c r="I5468" s="1"/>
      <c r="S5468" s="1"/>
    </row>
    <row r="5469" spans="9:19" x14ac:dyDescent="0.3">
      <c r="I5469" s="1"/>
      <c r="S5469" s="1"/>
    </row>
    <row r="5470" spans="9:19" x14ac:dyDescent="0.3">
      <c r="I5470" s="1"/>
      <c r="S5470" s="1"/>
    </row>
    <row r="5471" spans="9:19" x14ac:dyDescent="0.3">
      <c r="I5471" s="1"/>
      <c r="S5471" s="1"/>
    </row>
    <row r="5472" spans="9:19" x14ac:dyDescent="0.3">
      <c r="I5472" s="1"/>
      <c r="S5472" s="1"/>
    </row>
    <row r="5473" spans="9:19" x14ac:dyDescent="0.3">
      <c r="I5473" s="1"/>
      <c r="S5473" s="1"/>
    </row>
    <row r="5474" spans="9:19" x14ac:dyDescent="0.3">
      <c r="I5474" s="1"/>
      <c r="S5474" s="1"/>
    </row>
    <row r="5475" spans="9:19" x14ac:dyDescent="0.3">
      <c r="I5475" s="1"/>
      <c r="S5475" s="1"/>
    </row>
    <row r="5476" spans="9:19" x14ac:dyDescent="0.3">
      <c r="I5476" s="1"/>
      <c r="S5476" s="1"/>
    </row>
    <row r="5477" spans="9:19" x14ac:dyDescent="0.3">
      <c r="I5477" s="1"/>
      <c r="S5477" s="1"/>
    </row>
    <row r="5478" spans="9:19" x14ac:dyDescent="0.3">
      <c r="I5478" s="1"/>
      <c r="S5478" s="1"/>
    </row>
    <row r="5479" spans="9:19" x14ac:dyDescent="0.3">
      <c r="I5479" s="1"/>
      <c r="S5479" s="1"/>
    </row>
    <row r="5480" spans="9:19" x14ac:dyDescent="0.3">
      <c r="I5480" s="1"/>
      <c r="S5480" s="1"/>
    </row>
    <row r="5481" spans="9:19" x14ac:dyDescent="0.3">
      <c r="I5481" s="1"/>
      <c r="S5481" s="1"/>
    </row>
    <row r="5482" spans="9:19" x14ac:dyDescent="0.3">
      <c r="I5482" s="1"/>
      <c r="S5482" s="1"/>
    </row>
    <row r="5483" spans="9:19" x14ac:dyDescent="0.3">
      <c r="I5483" s="1"/>
      <c r="S5483" s="1"/>
    </row>
    <row r="5484" spans="9:19" x14ac:dyDescent="0.3">
      <c r="I5484" s="1"/>
      <c r="S5484" s="1"/>
    </row>
    <row r="5485" spans="9:19" x14ac:dyDescent="0.3">
      <c r="I5485" s="1"/>
      <c r="S5485" s="1"/>
    </row>
    <row r="5486" spans="9:19" x14ac:dyDescent="0.3">
      <c r="I5486" s="1"/>
      <c r="S5486" s="1"/>
    </row>
    <row r="5487" spans="9:19" x14ac:dyDescent="0.3">
      <c r="I5487" s="1"/>
      <c r="S5487" s="1"/>
    </row>
    <row r="5488" spans="9:19" x14ac:dyDescent="0.3">
      <c r="I5488" s="1"/>
      <c r="S5488" s="1"/>
    </row>
    <row r="5489" spans="9:19" x14ac:dyDescent="0.3">
      <c r="I5489" s="1"/>
      <c r="S5489" s="1"/>
    </row>
    <row r="5490" spans="9:19" x14ac:dyDescent="0.3">
      <c r="I5490" s="1"/>
      <c r="S5490" s="1"/>
    </row>
    <row r="5491" spans="9:19" x14ac:dyDescent="0.3">
      <c r="I5491" s="1"/>
      <c r="S5491" s="1"/>
    </row>
    <row r="5492" spans="9:19" x14ac:dyDescent="0.3">
      <c r="I5492" s="1"/>
      <c r="S5492" s="1"/>
    </row>
    <row r="5493" spans="9:19" x14ac:dyDescent="0.3">
      <c r="I5493" s="1"/>
      <c r="S5493" s="1"/>
    </row>
    <row r="5494" spans="9:19" x14ac:dyDescent="0.3">
      <c r="I5494" s="1"/>
      <c r="S5494" s="1"/>
    </row>
    <row r="5495" spans="9:19" x14ac:dyDescent="0.3">
      <c r="I5495" s="1"/>
      <c r="S5495" s="1"/>
    </row>
    <row r="5496" spans="9:19" x14ac:dyDescent="0.3">
      <c r="I5496" s="1"/>
      <c r="S5496" s="1"/>
    </row>
    <row r="5497" spans="9:19" x14ac:dyDescent="0.3">
      <c r="I5497" s="1"/>
      <c r="S5497" s="1"/>
    </row>
    <row r="5498" spans="9:19" x14ac:dyDescent="0.3">
      <c r="I5498" s="1"/>
      <c r="S5498" s="1"/>
    </row>
    <row r="5499" spans="9:19" x14ac:dyDescent="0.3">
      <c r="I5499" s="1"/>
      <c r="S5499" s="1"/>
    </row>
    <row r="5500" spans="9:19" x14ac:dyDescent="0.3">
      <c r="I5500" s="1"/>
      <c r="S5500" s="1"/>
    </row>
    <row r="5501" spans="9:19" x14ac:dyDescent="0.3">
      <c r="I5501" s="1"/>
      <c r="S5501" s="1"/>
    </row>
    <row r="5502" spans="9:19" x14ac:dyDescent="0.3">
      <c r="I5502" s="1"/>
      <c r="S5502" s="1"/>
    </row>
    <row r="5503" spans="9:19" x14ac:dyDescent="0.3">
      <c r="I5503" s="1"/>
      <c r="S5503" s="1"/>
    </row>
    <row r="5504" spans="9:19" x14ac:dyDescent="0.3">
      <c r="I5504" s="1"/>
      <c r="S5504" s="1"/>
    </row>
    <row r="5505" spans="9:19" x14ac:dyDescent="0.3">
      <c r="I5505" s="1"/>
      <c r="S5505" s="1"/>
    </row>
    <row r="5506" spans="9:19" x14ac:dyDescent="0.3">
      <c r="I5506" s="1"/>
      <c r="S5506" s="1"/>
    </row>
    <row r="5507" spans="9:19" x14ac:dyDescent="0.3">
      <c r="I5507" s="1"/>
      <c r="S5507" s="1"/>
    </row>
    <row r="5508" spans="9:19" x14ac:dyDescent="0.3">
      <c r="I5508" s="1"/>
      <c r="S5508" s="1"/>
    </row>
    <row r="5509" spans="9:19" x14ac:dyDescent="0.3">
      <c r="I5509" s="1"/>
      <c r="S5509" s="1"/>
    </row>
    <row r="5510" spans="9:19" x14ac:dyDescent="0.3">
      <c r="I5510" s="1"/>
      <c r="S5510" s="1"/>
    </row>
    <row r="5511" spans="9:19" x14ac:dyDescent="0.3">
      <c r="I5511" s="1"/>
      <c r="S5511" s="1"/>
    </row>
    <row r="5512" spans="9:19" x14ac:dyDescent="0.3">
      <c r="I5512" s="1"/>
      <c r="S5512" s="1"/>
    </row>
    <row r="5513" spans="9:19" x14ac:dyDescent="0.3">
      <c r="I5513" s="1"/>
      <c r="S5513" s="1"/>
    </row>
    <row r="5514" spans="9:19" x14ac:dyDescent="0.3">
      <c r="I5514" s="1"/>
      <c r="S5514" s="1"/>
    </row>
    <row r="5515" spans="9:19" x14ac:dyDescent="0.3">
      <c r="I5515" s="1"/>
      <c r="S5515" s="1"/>
    </row>
    <row r="5516" spans="9:19" x14ac:dyDescent="0.3">
      <c r="I5516" s="1"/>
      <c r="S5516" s="1"/>
    </row>
    <row r="5517" spans="9:19" x14ac:dyDescent="0.3">
      <c r="I5517" s="1"/>
      <c r="S5517" s="1"/>
    </row>
    <row r="5518" spans="9:19" x14ac:dyDescent="0.3">
      <c r="I5518" s="1"/>
      <c r="S5518" s="1"/>
    </row>
    <row r="5519" spans="9:19" x14ac:dyDescent="0.3">
      <c r="I5519" s="1"/>
      <c r="S5519" s="1"/>
    </row>
    <row r="5520" spans="9:19" x14ac:dyDescent="0.3">
      <c r="I5520" s="1"/>
      <c r="S5520" s="1"/>
    </row>
    <row r="5521" spans="9:19" x14ac:dyDescent="0.3">
      <c r="I5521" s="1"/>
      <c r="S5521" s="1"/>
    </row>
    <row r="5522" spans="9:19" x14ac:dyDescent="0.3">
      <c r="I5522" s="1"/>
      <c r="S5522" s="1"/>
    </row>
    <row r="5523" spans="9:19" x14ac:dyDescent="0.3">
      <c r="I5523" s="1"/>
      <c r="S5523" s="1"/>
    </row>
    <row r="5524" spans="9:19" x14ac:dyDescent="0.3">
      <c r="I5524" s="1"/>
      <c r="S5524" s="1"/>
    </row>
    <row r="5525" spans="9:19" x14ac:dyDescent="0.3">
      <c r="I5525" s="1"/>
      <c r="S5525" s="1"/>
    </row>
    <row r="5526" spans="9:19" x14ac:dyDescent="0.3">
      <c r="I5526" s="1"/>
      <c r="S5526" s="1"/>
    </row>
    <row r="5527" spans="9:19" x14ac:dyDescent="0.3">
      <c r="I5527" s="1"/>
      <c r="S5527" s="1"/>
    </row>
    <row r="5528" spans="9:19" x14ac:dyDescent="0.3">
      <c r="I5528" s="1"/>
      <c r="S5528" s="1"/>
    </row>
    <row r="5529" spans="9:19" x14ac:dyDescent="0.3">
      <c r="I5529" s="1"/>
      <c r="S5529" s="1"/>
    </row>
    <row r="5530" spans="9:19" x14ac:dyDescent="0.3">
      <c r="I5530" s="1"/>
      <c r="S5530" s="1"/>
    </row>
    <row r="5531" spans="9:19" x14ac:dyDescent="0.3">
      <c r="I5531" s="1"/>
      <c r="S5531" s="1"/>
    </row>
    <row r="5532" spans="9:19" x14ac:dyDescent="0.3">
      <c r="I5532" s="1"/>
      <c r="S5532" s="1"/>
    </row>
    <row r="5533" spans="9:19" x14ac:dyDescent="0.3">
      <c r="I5533" s="1"/>
      <c r="S5533" s="1"/>
    </row>
    <row r="5534" spans="9:19" x14ac:dyDescent="0.3">
      <c r="I5534" s="1"/>
      <c r="S5534" s="1"/>
    </row>
    <row r="5535" spans="9:19" x14ac:dyDescent="0.3">
      <c r="I5535" s="1"/>
      <c r="S5535" s="1"/>
    </row>
    <row r="5536" spans="9:19" x14ac:dyDescent="0.3">
      <c r="I5536" s="1"/>
      <c r="S5536" s="1"/>
    </row>
    <row r="5537" spans="9:19" x14ac:dyDescent="0.3">
      <c r="I5537" s="1"/>
      <c r="S5537" s="1"/>
    </row>
    <row r="5538" spans="9:19" x14ac:dyDescent="0.3">
      <c r="I5538" s="1"/>
      <c r="S5538" s="1"/>
    </row>
    <row r="5539" spans="9:19" x14ac:dyDescent="0.3">
      <c r="I5539" s="1"/>
      <c r="S5539" s="1"/>
    </row>
    <row r="5540" spans="9:19" x14ac:dyDescent="0.3">
      <c r="I5540" s="1"/>
      <c r="S5540" s="1"/>
    </row>
    <row r="5541" spans="9:19" x14ac:dyDescent="0.3">
      <c r="I5541" s="1"/>
      <c r="S5541" s="1"/>
    </row>
    <row r="5542" spans="9:19" x14ac:dyDescent="0.3">
      <c r="I5542" s="1"/>
      <c r="S5542" s="1"/>
    </row>
    <row r="5543" spans="9:19" x14ac:dyDescent="0.3">
      <c r="I5543" s="1"/>
      <c r="S5543" s="1"/>
    </row>
    <row r="5544" spans="9:19" x14ac:dyDescent="0.3">
      <c r="I5544" s="1"/>
      <c r="S5544" s="1"/>
    </row>
    <row r="5545" spans="9:19" x14ac:dyDescent="0.3">
      <c r="I5545" s="1"/>
      <c r="S5545" s="1"/>
    </row>
    <row r="5546" spans="9:19" x14ac:dyDescent="0.3">
      <c r="I5546" s="1"/>
      <c r="S5546" s="1"/>
    </row>
    <row r="5547" spans="9:19" x14ac:dyDescent="0.3">
      <c r="I5547" s="1"/>
      <c r="S5547" s="1"/>
    </row>
    <row r="5548" spans="9:19" x14ac:dyDescent="0.3">
      <c r="I5548" s="1"/>
      <c r="S5548" s="1"/>
    </row>
    <row r="5549" spans="9:19" x14ac:dyDescent="0.3">
      <c r="I5549" s="1"/>
      <c r="S5549" s="1"/>
    </row>
    <row r="5550" spans="9:19" x14ac:dyDescent="0.3">
      <c r="I5550" s="1"/>
      <c r="S5550" s="1"/>
    </row>
    <row r="5551" spans="9:19" x14ac:dyDescent="0.3">
      <c r="I5551" s="1"/>
      <c r="S5551" s="1"/>
    </row>
    <row r="5552" spans="9:19" x14ac:dyDescent="0.3">
      <c r="I5552" s="1"/>
      <c r="S5552" s="1"/>
    </row>
    <row r="5553" spans="9:19" x14ac:dyDescent="0.3">
      <c r="I5553" s="1"/>
      <c r="S5553" s="1"/>
    </row>
    <row r="5554" spans="9:19" x14ac:dyDescent="0.3">
      <c r="I5554" s="1"/>
      <c r="S5554" s="1"/>
    </row>
    <row r="5555" spans="9:19" x14ac:dyDescent="0.3">
      <c r="I5555" s="1"/>
      <c r="S5555" s="1"/>
    </row>
    <row r="5556" spans="9:19" x14ac:dyDescent="0.3">
      <c r="I5556" s="1"/>
      <c r="S5556" s="1"/>
    </row>
    <row r="5557" spans="9:19" x14ac:dyDescent="0.3">
      <c r="I5557" s="1"/>
      <c r="S5557" s="1"/>
    </row>
    <row r="5558" spans="9:19" x14ac:dyDescent="0.3">
      <c r="I5558" s="1"/>
      <c r="S5558" s="1"/>
    </row>
    <row r="5559" spans="9:19" x14ac:dyDescent="0.3">
      <c r="I5559" s="1"/>
      <c r="S5559" s="1"/>
    </row>
    <row r="5560" spans="9:19" x14ac:dyDescent="0.3">
      <c r="I5560" s="1"/>
      <c r="S5560" s="1"/>
    </row>
    <row r="5561" spans="9:19" x14ac:dyDescent="0.3">
      <c r="I5561" s="1"/>
      <c r="S5561" s="1"/>
    </row>
    <row r="5562" spans="9:19" x14ac:dyDescent="0.3">
      <c r="I5562" s="1"/>
      <c r="S5562" s="1"/>
    </row>
    <row r="5563" spans="9:19" x14ac:dyDescent="0.3">
      <c r="I5563" s="1"/>
      <c r="S5563" s="1"/>
    </row>
    <row r="5564" spans="9:19" x14ac:dyDescent="0.3">
      <c r="I5564" s="1"/>
      <c r="S5564" s="1"/>
    </row>
    <row r="5565" spans="9:19" x14ac:dyDescent="0.3">
      <c r="I5565" s="1"/>
      <c r="S5565" s="1"/>
    </row>
    <row r="5566" spans="9:19" x14ac:dyDescent="0.3">
      <c r="I5566" s="1"/>
      <c r="S5566" s="1"/>
    </row>
    <row r="5567" spans="9:19" x14ac:dyDescent="0.3">
      <c r="I5567" s="1"/>
      <c r="S5567" s="1"/>
    </row>
    <row r="5568" spans="9:19" x14ac:dyDescent="0.3">
      <c r="I5568" s="1"/>
      <c r="S5568" s="1"/>
    </row>
    <row r="5569" spans="9:19" x14ac:dyDescent="0.3">
      <c r="I5569" s="1"/>
      <c r="S5569" s="1"/>
    </row>
    <row r="5570" spans="9:19" x14ac:dyDescent="0.3">
      <c r="I5570" s="1"/>
      <c r="S5570" s="1"/>
    </row>
    <row r="5571" spans="9:19" x14ac:dyDescent="0.3">
      <c r="I5571" s="1"/>
      <c r="S5571" s="1"/>
    </row>
    <row r="5572" spans="9:19" x14ac:dyDescent="0.3">
      <c r="I5572" s="1"/>
      <c r="S5572" s="1"/>
    </row>
    <row r="5573" spans="9:19" x14ac:dyDescent="0.3">
      <c r="I5573" s="1"/>
      <c r="S5573" s="1"/>
    </row>
    <row r="5574" spans="9:19" x14ac:dyDescent="0.3">
      <c r="I5574" s="1"/>
      <c r="S5574" s="1"/>
    </row>
    <row r="5575" spans="9:19" x14ac:dyDescent="0.3">
      <c r="I5575" s="1"/>
      <c r="S5575" s="1"/>
    </row>
    <row r="5576" spans="9:19" x14ac:dyDescent="0.3">
      <c r="I5576" s="1"/>
      <c r="S5576" s="1"/>
    </row>
    <row r="5577" spans="9:19" x14ac:dyDescent="0.3">
      <c r="I5577" s="1"/>
      <c r="S5577" s="1"/>
    </row>
    <row r="5578" spans="9:19" x14ac:dyDescent="0.3">
      <c r="I5578" s="1"/>
      <c r="S5578" s="1"/>
    </row>
    <row r="5579" spans="9:19" x14ac:dyDescent="0.3">
      <c r="I5579" s="1"/>
      <c r="S5579" s="1"/>
    </row>
    <row r="5580" spans="9:19" x14ac:dyDescent="0.3">
      <c r="I5580" s="1"/>
      <c r="S5580" s="1"/>
    </row>
    <row r="5581" spans="9:19" x14ac:dyDescent="0.3">
      <c r="I5581" s="1"/>
      <c r="S5581" s="1"/>
    </row>
    <row r="5582" spans="9:19" x14ac:dyDescent="0.3">
      <c r="I5582" s="1"/>
      <c r="S5582" s="1"/>
    </row>
    <row r="5583" spans="9:19" x14ac:dyDescent="0.3">
      <c r="I5583" s="1"/>
      <c r="S5583" s="1"/>
    </row>
    <row r="5584" spans="9:19" x14ac:dyDescent="0.3">
      <c r="I5584" s="1"/>
      <c r="S5584" s="1"/>
    </row>
    <row r="5585" spans="9:19" x14ac:dyDescent="0.3">
      <c r="I5585" s="1"/>
      <c r="S5585" s="1"/>
    </row>
    <row r="5586" spans="9:19" x14ac:dyDescent="0.3">
      <c r="I5586" s="1"/>
      <c r="S5586" s="1"/>
    </row>
    <row r="5587" spans="9:19" x14ac:dyDescent="0.3">
      <c r="I5587" s="1"/>
      <c r="S5587" s="1"/>
    </row>
    <row r="5588" spans="9:19" x14ac:dyDescent="0.3">
      <c r="I5588" s="1"/>
      <c r="S5588" s="1"/>
    </row>
    <row r="5589" spans="9:19" x14ac:dyDescent="0.3">
      <c r="I5589" s="1"/>
      <c r="S5589" s="1"/>
    </row>
    <row r="5590" spans="9:19" x14ac:dyDescent="0.3">
      <c r="I5590" s="1"/>
      <c r="S5590" s="1"/>
    </row>
    <row r="5591" spans="9:19" x14ac:dyDescent="0.3">
      <c r="I5591" s="1"/>
      <c r="S5591" s="1"/>
    </row>
    <row r="5592" spans="9:19" x14ac:dyDescent="0.3">
      <c r="I5592" s="1"/>
      <c r="S5592" s="1"/>
    </row>
    <row r="5593" spans="9:19" x14ac:dyDescent="0.3">
      <c r="I5593" s="1"/>
      <c r="S5593" s="1"/>
    </row>
    <row r="5594" spans="9:19" x14ac:dyDescent="0.3">
      <c r="I5594" s="1"/>
      <c r="S5594" s="1"/>
    </row>
    <row r="5595" spans="9:19" x14ac:dyDescent="0.3">
      <c r="I5595" s="1"/>
      <c r="S5595" s="1"/>
    </row>
    <row r="5596" spans="9:19" x14ac:dyDescent="0.3">
      <c r="I5596" s="1"/>
      <c r="S5596" s="1"/>
    </row>
    <row r="5597" spans="9:19" x14ac:dyDescent="0.3">
      <c r="I5597" s="1"/>
      <c r="S5597" s="1"/>
    </row>
    <row r="5598" spans="9:19" x14ac:dyDescent="0.3">
      <c r="I5598" s="1"/>
      <c r="S5598" s="1"/>
    </row>
    <row r="5599" spans="9:19" x14ac:dyDescent="0.3">
      <c r="I5599" s="1"/>
      <c r="S5599" s="1"/>
    </row>
    <row r="5600" spans="9:19" x14ac:dyDescent="0.3">
      <c r="I5600" s="1"/>
      <c r="S5600" s="1"/>
    </row>
    <row r="5601" spans="9:19" x14ac:dyDescent="0.3">
      <c r="I5601" s="1"/>
      <c r="S5601" s="1"/>
    </row>
    <row r="5602" spans="9:19" x14ac:dyDescent="0.3">
      <c r="I5602" s="1"/>
      <c r="S5602" s="1"/>
    </row>
    <row r="5603" spans="9:19" x14ac:dyDescent="0.3">
      <c r="I5603" s="1"/>
      <c r="S5603" s="1"/>
    </row>
    <row r="5604" spans="9:19" x14ac:dyDescent="0.3">
      <c r="I5604" s="1"/>
      <c r="S5604" s="1"/>
    </row>
    <row r="5605" spans="9:19" x14ac:dyDescent="0.3">
      <c r="I5605" s="1"/>
      <c r="S5605" s="1"/>
    </row>
    <row r="5606" spans="9:19" x14ac:dyDescent="0.3">
      <c r="I5606" s="1"/>
      <c r="S5606" s="1"/>
    </row>
    <row r="5607" spans="9:19" x14ac:dyDescent="0.3">
      <c r="I5607" s="1"/>
      <c r="S5607" s="1"/>
    </row>
    <row r="5608" spans="9:19" x14ac:dyDescent="0.3">
      <c r="I5608" s="1"/>
      <c r="S5608" s="1"/>
    </row>
    <row r="5609" spans="9:19" x14ac:dyDescent="0.3">
      <c r="I5609" s="1"/>
      <c r="S5609" s="1"/>
    </row>
    <row r="5610" spans="9:19" x14ac:dyDescent="0.3">
      <c r="I5610" s="1"/>
      <c r="S5610" s="1"/>
    </row>
    <row r="5611" spans="9:19" x14ac:dyDescent="0.3">
      <c r="I5611" s="1"/>
      <c r="S5611" s="1"/>
    </row>
    <row r="5612" spans="9:19" x14ac:dyDescent="0.3">
      <c r="I5612" s="1"/>
      <c r="S5612" s="1"/>
    </row>
    <row r="5613" spans="9:19" x14ac:dyDescent="0.3">
      <c r="I5613" s="1"/>
      <c r="S5613" s="1"/>
    </row>
    <row r="5614" spans="9:19" x14ac:dyDescent="0.3">
      <c r="I5614" s="1"/>
      <c r="S5614" s="1"/>
    </row>
    <row r="5615" spans="9:19" x14ac:dyDescent="0.3">
      <c r="I5615" s="1"/>
      <c r="S5615" s="1"/>
    </row>
    <row r="5616" spans="9:19" x14ac:dyDescent="0.3">
      <c r="I5616" s="1"/>
      <c r="S5616" s="1"/>
    </row>
    <row r="5617" spans="9:19" x14ac:dyDescent="0.3">
      <c r="I5617" s="1"/>
      <c r="S5617" s="1"/>
    </row>
    <row r="5618" spans="9:19" x14ac:dyDescent="0.3">
      <c r="I5618" s="1"/>
      <c r="S5618" s="1"/>
    </row>
    <row r="5619" spans="9:19" x14ac:dyDescent="0.3">
      <c r="I5619" s="1"/>
      <c r="S5619" s="1"/>
    </row>
    <row r="5620" spans="9:19" x14ac:dyDescent="0.3">
      <c r="I5620" s="1"/>
      <c r="S5620" s="1"/>
    </row>
    <row r="5621" spans="9:19" x14ac:dyDescent="0.3">
      <c r="I5621" s="1"/>
      <c r="S5621" s="1"/>
    </row>
    <row r="5622" spans="9:19" x14ac:dyDescent="0.3">
      <c r="I5622" s="1"/>
      <c r="S5622" s="1"/>
    </row>
    <row r="5623" spans="9:19" x14ac:dyDescent="0.3">
      <c r="I5623" s="1"/>
      <c r="S5623" s="1"/>
    </row>
    <row r="5624" spans="9:19" x14ac:dyDescent="0.3">
      <c r="I5624" s="1"/>
      <c r="S5624" s="1"/>
    </row>
    <row r="5625" spans="9:19" x14ac:dyDescent="0.3">
      <c r="I5625" s="1"/>
      <c r="S5625" s="1"/>
    </row>
    <row r="5626" spans="9:19" x14ac:dyDescent="0.3">
      <c r="I5626" s="1"/>
      <c r="S5626" s="1"/>
    </row>
    <row r="5627" spans="9:19" x14ac:dyDescent="0.3">
      <c r="I5627" s="1"/>
      <c r="S5627" s="1"/>
    </row>
    <row r="5628" spans="9:19" x14ac:dyDescent="0.3">
      <c r="I5628" s="1"/>
      <c r="S5628" s="1"/>
    </row>
    <row r="5629" spans="9:19" x14ac:dyDescent="0.3">
      <c r="I5629" s="1"/>
      <c r="S5629" s="1"/>
    </row>
    <row r="5630" spans="9:19" x14ac:dyDescent="0.3">
      <c r="I5630" s="1"/>
      <c r="S5630" s="1"/>
    </row>
    <row r="5631" spans="9:19" x14ac:dyDescent="0.3">
      <c r="I5631" s="1"/>
      <c r="S5631" s="1"/>
    </row>
    <row r="5632" spans="9:19" x14ac:dyDescent="0.3">
      <c r="I5632" s="1"/>
      <c r="S5632" s="1"/>
    </row>
    <row r="5633" spans="9:19" x14ac:dyDescent="0.3">
      <c r="I5633" s="1"/>
      <c r="S5633" s="1"/>
    </row>
    <row r="5634" spans="9:19" x14ac:dyDescent="0.3">
      <c r="I5634" s="1"/>
      <c r="S5634" s="1"/>
    </row>
    <row r="5635" spans="9:19" x14ac:dyDescent="0.3">
      <c r="I5635" s="1"/>
      <c r="S5635" s="1"/>
    </row>
    <row r="5636" spans="9:19" x14ac:dyDescent="0.3">
      <c r="I5636" s="1"/>
      <c r="S5636" s="1"/>
    </row>
    <row r="5637" spans="9:19" x14ac:dyDescent="0.3">
      <c r="I5637" s="1"/>
      <c r="S5637" s="1"/>
    </row>
    <row r="5638" spans="9:19" x14ac:dyDescent="0.3">
      <c r="I5638" s="1"/>
      <c r="S5638" s="1"/>
    </row>
    <row r="5639" spans="9:19" x14ac:dyDescent="0.3">
      <c r="I5639" s="1"/>
      <c r="S5639" s="1"/>
    </row>
    <row r="5640" spans="9:19" x14ac:dyDescent="0.3">
      <c r="I5640" s="1"/>
      <c r="S5640" s="1"/>
    </row>
    <row r="5641" spans="9:19" x14ac:dyDescent="0.3">
      <c r="I5641" s="1"/>
      <c r="S5641" s="1"/>
    </row>
    <row r="5642" spans="9:19" x14ac:dyDescent="0.3">
      <c r="I5642" s="1"/>
      <c r="S5642" s="1"/>
    </row>
    <row r="5643" spans="9:19" x14ac:dyDescent="0.3">
      <c r="I5643" s="1"/>
      <c r="S5643" s="1"/>
    </row>
    <row r="5644" spans="9:19" x14ac:dyDescent="0.3">
      <c r="I5644" s="1"/>
      <c r="S5644" s="1"/>
    </row>
    <row r="5645" spans="9:19" x14ac:dyDescent="0.3">
      <c r="I5645" s="1"/>
      <c r="S5645" s="1"/>
    </row>
    <row r="5646" spans="9:19" x14ac:dyDescent="0.3">
      <c r="I5646" s="1"/>
      <c r="S5646" s="1"/>
    </row>
    <row r="5647" spans="9:19" x14ac:dyDescent="0.3">
      <c r="I5647" s="1"/>
      <c r="S5647" s="1"/>
    </row>
    <row r="5648" spans="9:19" x14ac:dyDescent="0.3">
      <c r="I5648" s="1"/>
      <c r="S5648" s="1"/>
    </row>
    <row r="5649" spans="9:19" x14ac:dyDescent="0.3">
      <c r="I5649" s="1"/>
      <c r="S5649" s="1"/>
    </row>
    <row r="5650" spans="9:19" x14ac:dyDescent="0.3">
      <c r="I5650" s="1"/>
      <c r="S5650" s="1"/>
    </row>
    <row r="5651" spans="9:19" x14ac:dyDescent="0.3">
      <c r="I5651" s="1"/>
      <c r="S5651" s="1"/>
    </row>
    <row r="5652" spans="9:19" x14ac:dyDescent="0.3">
      <c r="I5652" s="1"/>
      <c r="S5652" s="1"/>
    </row>
    <row r="5653" spans="9:19" x14ac:dyDescent="0.3">
      <c r="I5653" s="1"/>
      <c r="S5653" s="1"/>
    </row>
    <row r="5654" spans="9:19" x14ac:dyDescent="0.3">
      <c r="I5654" s="1"/>
      <c r="S5654" s="1"/>
    </row>
    <row r="5655" spans="9:19" x14ac:dyDescent="0.3">
      <c r="I5655" s="1"/>
      <c r="S5655" s="1"/>
    </row>
    <row r="5656" spans="9:19" x14ac:dyDescent="0.3">
      <c r="I5656" s="1"/>
      <c r="S5656" s="1"/>
    </row>
    <row r="5657" spans="9:19" x14ac:dyDescent="0.3">
      <c r="I5657" s="1"/>
      <c r="S5657" s="1"/>
    </row>
    <row r="5658" spans="9:19" x14ac:dyDescent="0.3">
      <c r="I5658" s="1"/>
      <c r="S5658" s="1"/>
    </row>
    <row r="5659" spans="9:19" x14ac:dyDescent="0.3">
      <c r="I5659" s="1"/>
      <c r="S5659" s="1"/>
    </row>
    <row r="5660" spans="9:19" x14ac:dyDescent="0.3">
      <c r="I5660" s="1"/>
      <c r="S5660" s="1"/>
    </row>
    <row r="5661" spans="9:19" x14ac:dyDescent="0.3">
      <c r="I5661" s="1"/>
      <c r="S5661" s="1"/>
    </row>
    <row r="5662" spans="9:19" x14ac:dyDescent="0.3">
      <c r="I5662" s="1"/>
      <c r="S5662" s="1"/>
    </row>
    <row r="5663" spans="9:19" x14ac:dyDescent="0.3">
      <c r="I5663" s="1"/>
      <c r="S5663" s="1"/>
    </row>
    <row r="5664" spans="9:19" x14ac:dyDescent="0.3">
      <c r="I5664" s="1"/>
      <c r="S5664" s="1"/>
    </row>
    <row r="5665" spans="9:19" x14ac:dyDescent="0.3">
      <c r="I5665" s="1"/>
      <c r="S5665" s="1"/>
    </row>
    <row r="5666" spans="9:19" x14ac:dyDescent="0.3">
      <c r="I5666" s="1"/>
      <c r="S5666" s="1"/>
    </row>
    <row r="5667" spans="9:19" x14ac:dyDescent="0.3">
      <c r="I5667" s="1"/>
      <c r="S5667" s="1"/>
    </row>
    <row r="5668" spans="9:19" x14ac:dyDescent="0.3">
      <c r="I5668" s="1"/>
      <c r="S5668" s="1"/>
    </row>
    <row r="5669" spans="9:19" x14ac:dyDescent="0.3">
      <c r="I5669" s="1"/>
      <c r="S5669" s="1"/>
    </row>
    <row r="5670" spans="9:19" x14ac:dyDescent="0.3">
      <c r="I5670" s="1"/>
      <c r="S5670" s="1"/>
    </row>
    <row r="5671" spans="9:19" x14ac:dyDescent="0.3">
      <c r="I5671" s="1"/>
      <c r="S5671" s="1"/>
    </row>
    <row r="5672" spans="9:19" x14ac:dyDescent="0.3">
      <c r="I5672" s="1"/>
      <c r="S5672" s="1"/>
    </row>
    <row r="5673" spans="9:19" x14ac:dyDescent="0.3">
      <c r="I5673" s="1"/>
      <c r="S5673" s="1"/>
    </row>
    <row r="5674" spans="9:19" x14ac:dyDescent="0.3">
      <c r="I5674" s="1"/>
      <c r="S5674" s="1"/>
    </row>
    <row r="5675" spans="9:19" x14ac:dyDescent="0.3">
      <c r="I5675" s="1"/>
      <c r="S5675" s="1"/>
    </row>
    <row r="5676" spans="9:19" x14ac:dyDescent="0.3">
      <c r="I5676" s="1"/>
      <c r="S5676" s="1"/>
    </row>
    <row r="5677" spans="9:19" x14ac:dyDescent="0.3">
      <c r="I5677" s="1"/>
      <c r="S5677" s="1"/>
    </row>
    <row r="5678" spans="9:19" x14ac:dyDescent="0.3">
      <c r="I5678" s="1"/>
      <c r="S5678" s="1"/>
    </row>
    <row r="5679" spans="9:19" x14ac:dyDescent="0.3">
      <c r="I5679" s="1"/>
      <c r="S5679" s="1"/>
    </row>
    <row r="5680" spans="9:19" x14ac:dyDescent="0.3">
      <c r="I5680" s="1"/>
      <c r="S5680" s="1"/>
    </row>
    <row r="5681" spans="9:19" x14ac:dyDescent="0.3">
      <c r="I5681" s="1"/>
      <c r="S5681" s="1"/>
    </row>
    <row r="5682" spans="9:19" x14ac:dyDescent="0.3">
      <c r="I5682" s="1"/>
      <c r="S5682" s="1"/>
    </row>
    <row r="5683" spans="9:19" x14ac:dyDescent="0.3">
      <c r="I5683" s="1"/>
      <c r="S5683" s="1"/>
    </row>
    <row r="5684" spans="9:19" x14ac:dyDescent="0.3">
      <c r="I5684" s="1"/>
      <c r="S5684" s="1"/>
    </row>
    <row r="5685" spans="9:19" x14ac:dyDescent="0.3">
      <c r="I5685" s="1"/>
      <c r="S5685" s="1"/>
    </row>
    <row r="5686" spans="9:19" x14ac:dyDescent="0.3">
      <c r="I5686" s="1"/>
      <c r="S5686" s="1"/>
    </row>
    <row r="5687" spans="9:19" x14ac:dyDescent="0.3">
      <c r="I5687" s="1"/>
      <c r="S5687" s="1"/>
    </row>
    <row r="5688" spans="9:19" x14ac:dyDescent="0.3">
      <c r="I5688" s="1"/>
      <c r="S5688" s="1"/>
    </row>
    <row r="5689" spans="9:19" x14ac:dyDescent="0.3">
      <c r="I5689" s="1"/>
      <c r="S5689" s="1"/>
    </row>
    <row r="5690" spans="9:19" x14ac:dyDescent="0.3">
      <c r="I5690" s="1"/>
      <c r="S5690" s="1"/>
    </row>
    <row r="5691" spans="9:19" x14ac:dyDescent="0.3">
      <c r="I5691" s="1"/>
      <c r="S5691" s="1"/>
    </row>
    <row r="5692" spans="9:19" x14ac:dyDescent="0.3">
      <c r="I5692" s="1"/>
      <c r="S5692" s="1"/>
    </row>
    <row r="5693" spans="9:19" x14ac:dyDescent="0.3">
      <c r="I5693" s="1"/>
      <c r="S5693" s="1"/>
    </row>
    <row r="5694" spans="9:19" x14ac:dyDescent="0.3">
      <c r="I5694" s="1"/>
      <c r="S5694" s="1"/>
    </row>
    <row r="5695" spans="9:19" x14ac:dyDescent="0.3">
      <c r="I5695" s="1"/>
      <c r="S5695" s="1"/>
    </row>
    <row r="5696" spans="9:19" x14ac:dyDescent="0.3">
      <c r="I5696" s="1"/>
      <c r="S5696" s="1"/>
    </row>
    <row r="5697" spans="9:19" x14ac:dyDescent="0.3">
      <c r="I5697" s="1"/>
      <c r="S5697" s="1"/>
    </row>
    <row r="5698" spans="9:19" x14ac:dyDescent="0.3">
      <c r="I5698" s="1"/>
      <c r="S5698" s="1"/>
    </row>
    <row r="5699" spans="9:19" x14ac:dyDescent="0.3">
      <c r="I5699" s="1"/>
      <c r="S5699" s="1"/>
    </row>
    <row r="5700" spans="9:19" x14ac:dyDescent="0.3">
      <c r="I5700" s="1"/>
      <c r="S5700" s="1"/>
    </row>
    <row r="5701" spans="9:19" x14ac:dyDescent="0.3">
      <c r="I5701" s="1"/>
      <c r="S5701" s="1"/>
    </row>
    <row r="5702" spans="9:19" x14ac:dyDescent="0.3">
      <c r="I5702" s="1"/>
      <c r="S5702" s="1"/>
    </row>
    <row r="5703" spans="9:19" x14ac:dyDescent="0.3">
      <c r="I5703" s="1"/>
      <c r="S5703" s="1"/>
    </row>
    <row r="5704" spans="9:19" x14ac:dyDescent="0.3">
      <c r="I5704" s="1"/>
      <c r="S5704" s="1"/>
    </row>
    <row r="5705" spans="9:19" x14ac:dyDescent="0.3">
      <c r="I5705" s="1"/>
      <c r="S5705" s="1"/>
    </row>
    <row r="5706" spans="9:19" x14ac:dyDescent="0.3">
      <c r="I5706" s="1"/>
      <c r="S5706" s="1"/>
    </row>
    <row r="5707" spans="9:19" x14ac:dyDescent="0.3">
      <c r="I5707" s="1"/>
      <c r="S5707" s="1"/>
    </row>
    <row r="5708" spans="9:19" x14ac:dyDescent="0.3">
      <c r="I5708" s="1"/>
      <c r="S5708" s="1"/>
    </row>
    <row r="5709" spans="9:19" x14ac:dyDescent="0.3">
      <c r="I5709" s="1"/>
      <c r="S5709" s="1"/>
    </row>
    <row r="5710" spans="9:19" x14ac:dyDescent="0.3">
      <c r="I5710" s="1"/>
      <c r="S5710" s="1"/>
    </row>
    <row r="5711" spans="9:19" x14ac:dyDescent="0.3">
      <c r="I5711" s="1"/>
      <c r="S5711" s="1"/>
    </row>
    <row r="5712" spans="9:19" x14ac:dyDescent="0.3">
      <c r="I5712" s="1"/>
      <c r="S5712" s="1"/>
    </row>
    <row r="5713" spans="9:19" x14ac:dyDescent="0.3">
      <c r="I5713" s="1"/>
      <c r="S5713" s="1"/>
    </row>
    <row r="5714" spans="9:19" x14ac:dyDescent="0.3">
      <c r="I5714" s="1"/>
      <c r="S5714" s="1"/>
    </row>
    <row r="5715" spans="9:19" x14ac:dyDescent="0.3">
      <c r="I5715" s="1"/>
      <c r="S5715" s="1"/>
    </row>
    <row r="5716" spans="9:19" x14ac:dyDescent="0.3">
      <c r="I5716" s="1"/>
      <c r="S5716" s="1"/>
    </row>
    <row r="5717" spans="9:19" x14ac:dyDescent="0.3">
      <c r="I5717" s="1"/>
      <c r="S5717" s="1"/>
    </row>
    <row r="5718" spans="9:19" x14ac:dyDescent="0.3">
      <c r="I5718" s="1"/>
      <c r="S5718" s="1"/>
    </row>
    <row r="5719" spans="9:19" x14ac:dyDescent="0.3">
      <c r="I5719" s="1"/>
      <c r="S5719" s="1"/>
    </row>
    <row r="5720" spans="9:19" x14ac:dyDescent="0.3">
      <c r="I5720" s="1"/>
      <c r="S5720" s="1"/>
    </row>
    <row r="5721" spans="9:19" x14ac:dyDescent="0.3">
      <c r="I5721" s="1"/>
      <c r="S5721" s="1"/>
    </row>
    <row r="5722" spans="9:19" x14ac:dyDescent="0.3">
      <c r="I5722" s="1"/>
      <c r="S5722" s="1"/>
    </row>
    <row r="5723" spans="9:19" x14ac:dyDescent="0.3">
      <c r="I5723" s="1"/>
      <c r="S5723" s="1"/>
    </row>
    <row r="5724" spans="9:19" x14ac:dyDescent="0.3">
      <c r="I5724" s="1"/>
      <c r="S5724" s="1"/>
    </row>
    <row r="5725" spans="9:19" x14ac:dyDescent="0.3">
      <c r="I5725" s="1"/>
      <c r="S5725" s="1"/>
    </row>
    <row r="5726" spans="9:19" x14ac:dyDescent="0.3">
      <c r="I5726" s="1"/>
      <c r="S5726" s="1"/>
    </row>
    <row r="5727" spans="9:19" x14ac:dyDescent="0.3">
      <c r="I5727" s="1"/>
      <c r="S5727" s="1"/>
    </row>
    <row r="5728" spans="9:19" x14ac:dyDescent="0.3">
      <c r="I5728" s="1"/>
      <c r="S5728" s="1"/>
    </row>
    <row r="5729" spans="9:19" x14ac:dyDescent="0.3">
      <c r="I5729" s="1"/>
      <c r="S5729" s="1"/>
    </row>
    <row r="5730" spans="9:19" x14ac:dyDescent="0.3">
      <c r="I5730" s="1"/>
      <c r="S5730" s="1"/>
    </row>
    <row r="5731" spans="9:19" x14ac:dyDescent="0.3">
      <c r="I5731" s="1"/>
      <c r="S5731" s="1"/>
    </row>
    <row r="5732" spans="9:19" x14ac:dyDescent="0.3">
      <c r="I5732" s="1"/>
      <c r="S5732" s="1"/>
    </row>
    <row r="5733" spans="9:19" x14ac:dyDescent="0.3">
      <c r="I5733" s="1"/>
      <c r="S5733" s="1"/>
    </row>
    <row r="5734" spans="9:19" x14ac:dyDescent="0.3">
      <c r="I5734" s="1"/>
      <c r="S5734" s="1"/>
    </row>
    <row r="5735" spans="9:19" x14ac:dyDescent="0.3">
      <c r="I5735" s="1"/>
      <c r="S5735" s="1"/>
    </row>
    <row r="5736" spans="9:19" x14ac:dyDescent="0.3">
      <c r="I5736" s="1"/>
      <c r="S5736" s="1"/>
    </row>
    <row r="5737" spans="9:19" x14ac:dyDescent="0.3">
      <c r="I5737" s="1"/>
      <c r="S5737" s="1"/>
    </row>
    <row r="5738" spans="9:19" x14ac:dyDescent="0.3">
      <c r="I5738" s="1"/>
      <c r="S5738" s="1"/>
    </row>
    <row r="5739" spans="9:19" x14ac:dyDescent="0.3">
      <c r="I5739" s="1"/>
      <c r="S5739" s="1"/>
    </row>
    <row r="5740" spans="9:19" x14ac:dyDescent="0.3">
      <c r="I5740" s="1"/>
      <c r="S5740" s="1"/>
    </row>
    <row r="5741" spans="9:19" x14ac:dyDescent="0.3">
      <c r="I5741" s="1"/>
      <c r="S5741" s="1"/>
    </row>
    <row r="5742" spans="9:19" x14ac:dyDescent="0.3">
      <c r="I5742" s="1"/>
      <c r="S5742" s="1"/>
    </row>
    <row r="5743" spans="9:19" x14ac:dyDescent="0.3">
      <c r="I5743" s="1"/>
      <c r="S5743" s="1"/>
    </row>
    <row r="5744" spans="9:19" x14ac:dyDescent="0.3">
      <c r="I5744" s="1"/>
      <c r="S5744" s="1"/>
    </row>
    <row r="5745" spans="9:19" x14ac:dyDescent="0.3">
      <c r="I5745" s="1"/>
      <c r="S5745" s="1"/>
    </row>
    <row r="5746" spans="9:19" x14ac:dyDescent="0.3">
      <c r="I5746" s="1"/>
      <c r="S5746" s="1"/>
    </row>
    <row r="5747" spans="9:19" x14ac:dyDescent="0.3">
      <c r="I5747" s="1"/>
      <c r="S5747" s="1"/>
    </row>
    <row r="5748" spans="9:19" x14ac:dyDescent="0.3">
      <c r="I5748" s="1"/>
      <c r="S5748" s="1"/>
    </row>
    <row r="5749" spans="9:19" x14ac:dyDescent="0.3">
      <c r="I5749" s="1"/>
      <c r="S5749" s="1"/>
    </row>
    <row r="5750" spans="9:19" x14ac:dyDescent="0.3">
      <c r="I5750" s="1"/>
      <c r="S5750" s="1"/>
    </row>
    <row r="5751" spans="9:19" x14ac:dyDescent="0.3">
      <c r="I5751" s="1"/>
      <c r="S5751" s="1"/>
    </row>
    <row r="5752" spans="9:19" x14ac:dyDescent="0.3">
      <c r="I5752" s="1"/>
      <c r="S5752" s="1"/>
    </row>
    <row r="5753" spans="9:19" x14ac:dyDescent="0.3">
      <c r="I5753" s="1"/>
      <c r="S5753" s="1"/>
    </row>
    <row r="5754" spans="9:19" x14ac:dyDescent="0.3">
      <c r="I5754" s="1"/>
      <c r="S5754" s="1"/>
    </row>
    <row r="5755" spans="9:19" x14ac:dyDescent="0.3">
      <c r="I5755" s="1"/>
      <c r="S5755" s="1"/>
    </row>
    <row r="5756" spans="9:19" x14ac:dyDescent="0.3">
      <c r="I5756" s="1"/>
      <c r="S5756" s="1"/>
    </row>
    <row r="5757" spans="9:19" x14ac:dyDescent="0.3">
      <c r="I5757" s="1"/>
      <c r="S5757" s="1"/>
    </row>
    <row r="5758" spans="9:19" x14ac:dyDescent="0.3">
      <c r="I5758" s="1"/>
      <c r="S5758" s="1"/>
    </row>
    <row r="5759" spans="9:19" x14ac:dyDescent="0.3">
      <c r="I5759" s="1"/>
      <c r="S5759" s="1"/>
    </row>
    <row r="5760" spans="9:19" x14ac:dyDescent="0.3">
      <c r="I5760" s="1"/>
      <c r="S5760" s="1"/>
    </row>
    <row r="5761" spans="9:19" x14ac:dyDescent="0.3">
      <c r="I5761" s="1"/>
      <c r="S5761" s="1"/>
    </row>
    <row r="5762" spans="9:19" x14ac:dyDescent="0.3">
      <c r="I5762" s="1"/>
      <c r="S5762" s="1"/>
    </row>
    <row r="5763" spans="9:19" x14ac:dyDescent="0.3">
      <c r="I5763" s="1"/>
      <c r="S5763" s="1"/>
    </row>
    <row r="5764" spans="9:19" x14ac:dyDescent="0.3">
      <c r="I5764" s="1"/>
      <c r="S5764" s="1"/>
    </row>
    <row r="5765" spans="9:19" x14ac:dyDescent="0.3">
      <c r="I5765" s="1"/>
      <c r="S5765" s="1"/>
    </row>
    <row r="5766" spans="9:19" x14ac:dyDescent="0.3">
      <c r="I5766" s="1"/>
      <c r="S5766" s="1"/>
    </row>
    <row r="5767" spans="9:19" x14ac:dyDescent="0.3">
      <c r="I5767" s="1"/>
      <c r="S5767" s="1"/>
    </row>
    <row r="5768" spans="9:19" x14ac:dyDescent="0.3">
      <c r="I5768" s="1"/>
      <c r="S5768" s="1"/>
    </row>
    <row r="5769" spans="9:19" x14ac:dyDescent="0.3">
      <c r="I5769" s="1"/>
      <c r="S5769" s="1"/>
    </row>
    <row r="5770" spans="9:19" x14ac:dyDescent="0.3">
      <c r="I5770" s="1"/>
      <c r="S5770" s="1"/>
    </row>
    <row r="5771" spans="9:19" x14ac:dyDescent="0.3">
      <c r="I5771" s="1"/>
      <c r="S5771" s="1"/>
    </row>
    <row r="5772" spans="9:19" x14ac:dyDescent="0.3">
      <c r="I5772" s="1"/>
      <c r="S5772" s="1"/>
    </row>
    <row r="5773" spans="9:19" x14ac:dyDescent="0.3">
      <c r="I5773" s="1"/>
      <c r="S5773" s="1"/>
    </row>
    <row r="5774" spans="9:19" x14ac:dyDescent="0.3">
      <c r="I5774" s="1"/>
      <c r="S5774" s="1"/>
    </row>
    <row r="5775" spans="9:19" x14ac:dyDescent="0.3">
      <c r="I5775" s="1"/>
      <c r="S5775" s="1"/>
    </row>
    <row r="5776" spans="9:19" x14ac:dyDescent="0.3">
      <c r="I5776" s="1"/>
      <c r="S5776" s="1"/>
    </row>
    <row r="5777" spans="9:19" x14ac:dyDescent="0.3">
      <c r="I5777" s="1"/>
      <c r="S5777" s="1"/>
    </row>
    <row r="5778" spans="9:19" x14ac:dyDescent="0.3">
      <c r="I5778" s="1"/>
      <c r="S5778" s="1"/>
    </row>
    <row r="5779" spans="9:19" x14ac:dyDescent="0.3">
      <c r="I5779" s="1"/>
      <c r="S5779" s="1"/>
    </row>
    <row r="5780" spans="9:19" x14ac:dyDescent="0.3">
      <c r="I5780" s="1"/>
      <c r="S5780" s="1"/>
    </row>
    <row r="5781" spans="9:19" x14ac:dyDescent="0.3">
      <c r="I5781" s="1"/>
      <c r="S5781" s="1"/>
    </row>
    <row r="5782" spans="9:19" x14ac:dyDescent="0.3">
      <c r="I5782" s="1"/>
      <c r="S5782" s="1"/>
    </row>
    <row r="5783" spans="9:19" x14ac:dyDescent="0.3">
      <c r="I5783" s="1"/>
      <c r="S5783" s="1"/>
    </row>
    <row r="5784" spans="9:19" x14ac:dyDescent="0.3">
      <c r="I5784" s="1"/>
      <c r="S5784" s="1"/>
    </row>
    <row r="5785" spans="9:19" x14ac:dyDescent="0.3">
      <c r="I5785" s="1"/>
      <c r="S5785" s="1"/>
    </row>
    <row r="5786" spans="9:19" x14ac:dyDescent="0.3">
      <c r="I5786" s="1"/>
      <c r="S5786" s="1"/>
    </row>
    <row r="5787" spans="9:19" x14ac:dyDescent="0.3">
      <c r="I5787" s="1"/>
      <c r="S5787" s="1"/>
    </row>
    <row r="5788" spans="9:19" x14ac:dyDescent="0.3">
      <c r="I5788" s="1"/>
      <c r="S5788" s="1"/>
    </row>
    <row r="5789" spans="9:19" x14ac:dyDescent="0.3">
      <c r="I5789" s="1"/>
      <c r="S5789" s="1"/>
    </row>
    <row r="5790" spans="9:19" x14ac:dyDescent="0.3">
      <c r="I5790" s="1"/>
      <c r="S5790" s="1"/>
    </row>
    <row r="5791" spans="9:19" x14ac:dyDescent="0.3">
      <c r="I5791" s="1"/>
      <c r="S5791" s="1"/>
    </row>
    <row r="5792" spans="9:19" x14ac:dyDescent="0.3">
      <c r="I5792" s="1"/>
      <c r="S5792" s="1"/>
    </row>
    <row r="5793" spans="9:19" x14ac:dyDescent="0.3">
      <c r="I5793" s="1"/>
      <c r="S5793" s="1"/>
    </row>
    <row r="5794" spans="9:19" x14ac:dyDescent="0.3">
      <c r="I5794" s="1"/>
      <c r="S5794" s="1"/>
    </row>
    <row r="5795" spans="9:19" x14ac:dyDescent="0.3">
      <c r="I5795" s="1"/>
      <c r="S5795" s="1"/>
    </row>
    <row r="5796" spans="9:19" x14ac:dyDescent="0.3">
      <c r="I5796" s="1"/>
      <c r="S5796" s="1"/>
    </row>
    <row r="5797" spans="9:19" x14ac:dyDescent="0.3">
      <c r="I5797" s="1"/>
      <c r="S5797" s="1"/>
    </row>
    <row r="5798" spans="9:19" x14ac:dyDescent="0.3">
      <c r="I5798" s="1"/>
      <c r="S5798" s="1"/>
    </row>
    <row r="5799" spans="9:19" x14ac:dyDescent="0.3">
      <c r="I5799" s="1"/>
      <c r="S5799" s="1"/>
    </row>
    <row r="5800" spans="9:19" x14ac:dyDescent="0.3">
      <c r="I5800" s="1"/>
      <c r="S5800" s="1"/>
    </row>
    <row r="5801" spans="9:19" x14ac:dyDescent="0.3">
      <c r="I5801" s="1"/>
      <c r="S5801" s="1"/>
    </row>
    <row r="5802" spans="9:19" x14ac:dyDescent="0.3">
      <c r="I5802" s="1"/>
      <c r="S5802" s="1"/>
    </row>
    <row r="5803" spans="9:19" x14ac:dyDescent="0.3">
      <c r="I5803" s="1"/>
      <c r="S5803" s="1"/>
    </row>
    <row r="5804" spans="9:19" x14ac:dyDescent="0.3">
      <c r="I5804" s="1"/>
      <c r="S5804" s="1"/>
    </row>
    <row r="5805" spans="9:19" x14ac:dyDescent="0.3">
      <c r="I5805" s="1"/>
      <c r="S5805" s="1"/>
    </row>
    <row r="5806" spans="9:19" x14ac:dyDescent="0.3">
      <c r="I5806" s="1"/>
      <c r="S5806" s="1"/>
    </row>
    <row r="5807" spans="9:19" x14ac:dyDescent="0.3">
      <c r="I5807" s="1"/>
      <c r="S5807" s="1"/>
    </row>
    <row r="5808" spans="9:19" x14ac:dyDescent="0.3">
      <c r="I5808" s="1"/>
      <c r="S5808" s="1"/>
    </row>
    <row r="5809" spans="9:19" x14ac:dyDescent="0.3">
      <c r="I5809" s="1"/>
      <c r="S5809" s="1"/>
    </row>
    <row r="5810" spans="9:19" x14ac:dyDescent="0.3">
      <c r="I5810" s="1"/>
      <c r="S5810" s="1"/>
    </row>
    <row r="5811" spans="9:19" x14ac:dyDescent="0.3">
      <c r="I5811" s="1"/>
      <c r="S5811" s="1"/>
    </row>
    <row r="5812" spans="9:19" x14ac:dyDescent="0.3">
      <c r="I5812" s="1"/>
      <c r="S5812" s="1"/>
    </row>
    <row r="5813" spans="9:19" x14ac:dyDescent="0.3">
      <c r="I5813" s="1"/>
      <c r="S5813" s="1"/>
    </row>
    <row r="5814" spans="9:19" x14ac:dyDescent="0.3">
      <c r="I5814" s="1"/>
      <c r="S5814" s="1"/>
    </row>
    <row r="5815" spans="9:19" x14ac:dyDescent="0.3">
      <c r="I5815" s="1"/>
      <c r="S5815" s="1"/>
    </row>
    <row r="5816" spans="9:19" x14ac:dyDescent="0.3">
      <c r="I5816" s="1"/>
      <c r="S5816" s="1"/>
    </row>
    <row r="5817" spans="9:19" x14ac:dyDescent="0.3">
      <c r="I5817" s="1"/>
      <c r="S5817" s="1"/>
    </row>
    <row r="5818" spans="9:19" x14ac:dyDescent="0.3">
      <c r="I5818" s="1"/>
      <c r="S5818" s="1"/>
    </row>
    <row r="5819" spans="9:19" x14ac:dyDescent="0.3">
      <c r="I5819" s="1"/>
      <c r="S5819" s="1"/>
    </row>
    <row r="5820" spans="9:19" x14ac:dyDescent="0.3">
      <c r="I5820" s="1"/>
      <c r="S5820" s="1"/>
    </row>
    <row r="5821" spans="9:19" x14ac:dyDescent="0.3">
      <c r="I5821" s="1"/>
      <c r="S5821" s="1"/>
    </row>
    <row r="5822" spans="9:19" x14ac:dyDescent="0.3">
      <c r="I5822" s="1"/>
      <c r="S5822" s="1"/>
    </row>
    <row r="5823" spans="9:19" x14ac:dyDescent="0.3">
      <c r="I5823" s="1"/>
      <c r="S5823" s="1"/>
    </row>
    <row r="5824" spans="9:19" x14ac:dyDescent="0.3">
      <c r="I5824" s="1"/>
      <c r="S5824" s="1"/>
    </row>
    <row r="5825" spans="9:19" x14ac:dyDescent="0.3">
      <c r="I5825" s="1"/>
      <c r="S5825" s="1"/>
    </row>
    <row r="5826" spans="9:19" x14ac:dyDescent="0.3">
      <c r="I5826" s="1"/>
      <c r="S5826" s="1"/>
    </row>
    <row r="5827" spans="9:19" x14ac:dyDescent="0.3">
      <c r="I5827" s="1"/>
      <c r="S5827" s="1"/>
    </row>
    <row r="5828" spans="9:19" x14ac:dyDescent="0.3">
      <c r="I5828" s="1"/>
      <c r="S5828" s="1"/>
    </row>
    <row r="5829" spans="9:19" x14ac:dyDescent="0.3">
      <c r="I5829" s="1"/>
      <c r="S5829" s="1"/>
    </row>
    <row r="5830" spans="9:19" x14ac:dyDescent="0.3">
      <c r="I5830" s="1"/>
      <c r="S5830" s="1"/>
    </row>
    <row r="5831" spans="9:19" x14ac:dyDescent="0.3">
      <c r="I5831" s="1"/>
      <c r="S5831" s="1"/>
    </row>
    <row r="5832" spans="9:19" x14ac:dyDescent="0.3">
      <c r="I5832" s="1"/>
      <c r="S5832" s="1"/>
    </row>
    <row r="5833" spans="9:19" x14ac:dyDescent="0.3">
      <c r="I5833" s="1"/>
      <c r="S5833" s="1"/>
    </row>
    <row r="5834" spans="9:19" x14ac:dyDescent="0.3">
      <c r="I5834" s="1"/>
      <c r="S5834" s="1"/>
    </row>
    <row r="5835" spans="9:19" x14ac:dyDescent="0.3">
      <c r="I5835" s="1"/>
      <c r="S5835" s="1"/>
    </row>
    <row r="5836" spans="9:19" x14ac:dyDescent="0.3">
      <c r="I5836" s="1"/>
      <c r="S5836" s="1"/>
    </row>
    <row r="5837" spans="9:19" x14ac:dyDescent="0.3">
      <c r="I5837" s="1"/>
      <c r="S5837" s="1"/>
    </row>
    <row r="5838" spans="9:19" x14ac:dyDescent="0.3">
      <c r="I5838" s="1"/>
      <c r="S5838" s="1"/>
    </row>
    <row r="5839" spans="9:19" x14ac:dyDescent="0.3">
      <c r="I5839" s="1"/>
      <c r="S5839" s="1"/>
    </row>
    <row r="5840" spans="9:19" x14ac:dyDescent="0.3">
      <c r="I5840" s="1"/>
      <c r="S5840" s="1"/>
    </row>
    <row r="5841" spans="9:19" x14ac:dyDescent="0.3">
      <c r="I5841" s="1"/>
      <c r="S5841" s="1"/>
    </row>
    <row r="5842" spans="9:19" x14ac:dyDescent="0.3">
      <c r="I5842" s="1"/>
      <c r="S5842" s="1"/>
    </row>
    <row r="5843" spans="9:19" x14ac:dyDescent="0.3">
      <c r="I5843" s="1"/>
      <c r="S5843" s="1"/>
    </row>
    <row r="5844" spans="9:19" x14ac:dyDescent="0.3">
      <c r="I5844" s="1"/>
      <c r="S5844" s="1"/>
    </row>
    <row r="5845" spans="9:19" x14ac:dyDescent="0.3">
      <c r="I5845" s="1"/>
      <c r="S5845" s="1"/>
    </row>
    <row r="5846" spans="9:19" x14ac:dyDescent="0.3">
      <c r="I5846" s="1"/>
      <c r="S5846" s="1"/>
    </row>
    <row r="5847" spans="9:19" x14ac:dyDescent="0.3">
      <c r="I5847" s="1"/>
      <c r="S5847" s="1"/>
    </row>
    <row r="5848" spans="9:19" x14ac:dyDescent="0.3">
      <c r="I5848" s="1"/>
      <c r="S5848" s="1"/>
    </row>
    <row r="5849" spans="9:19" x14ac:dyDescent="0.3">
      <c r="I5849" s="1"/>
      <c r="S5849" s="1"/>
    </row>
    <row r="5850" spans="9:19" x14ac:dyDescent="0.3">
      <c r="I5850" s="1"/>
      <c r="S5850" s="1"/>
    </row>
    <row r="5851" spans="9:19" x14ac:dyDescent="0.3">
      <c r="I5851" s="1"/>
      <c r="S5851" s="1"/>
    </row>
    <row r="5852" spans="9:19" x14ac:dyDescent="0.3">
      <c r="I5852" s="1"/>
      <c r="S5852" s="1"/>
    </row>
    <row r="5853" spans="9:19" x14ac:dyDescent="0.3">
      <c r="I5853" s="1"/>
      <c r="S5853" s="1"/>
    </row>
    <row r="5854" spans="9:19" x14ac:dyDescent="0.3">
      <c r="I5854" s="1"/>
      <c r="S5854" s="1"/>
    </row>
    <row r="5855" spans="9:19" x14ac:dyDescent="0.3">
      <c r="I5855" s="1"/>
      <c r="S5855" s="1"/>
    </row>
    <row r="5856" spans="9:19" x14ac:dyDescent="0.3">
      <c r="I5856" s="1"/>
      <c r="S5856" s="1"/>
    </row>
    <row r="5857" spans="9:19" x14ac:dyDescent="0.3">
      <c r="I5857" s="1"/>
      <c r="S5857" s="1"/>
    </row>
    <row r="5858" spans="9:19" x14ac:dyDescent="0.3">
      <c r="I5858" s="1"/>
      <c r="S5858" s="1"/>
    </row>
    <row r="5859" spans="9:19" x14ac:dyDescent="0.3">
      <c r="I5859" s="1"/>
      <c r="S5859" s="1"/>
    </row>
    <row r="5860" spans="9:19" x14ac:dyDescent="0.3">
      <c r="I5860" s="1"/>
      <c r="S5860" s="1"/>
    </row>
    <row r="5861" spans="9:19" x14ac:dyDescent="0.3">
      <c r="I5861" s="1"/>
      <c r="S5861" s="1"/>
    </row>
    <row r="5862" spans="9:19" x14ac:dyDescent="0.3">
      <c r="I5862" s="1"/>
      <c r="S5862" s="1"/>
    </row>
    <row r="5863" spans="9:19" x14ac:dyDescent="0.3">
      <c r="I5863" s="1"/>
      <c r="S5863" s="1"/>
    </row>
    <row r="5864" spans="9:19" x14ac:dyDescent="0.3">
      <c r="I5864" s="1"/>
      <c r="S5864" s="1"/>
    </row>
    <row r="5865" spans="9:19" x14ac:dyDescent="0.3">
      <c r="I5865" s="1"/>
      <c r="S5865" s="1"/>
    </row>
    <row r="5866" spans="9:19" x14ac:dyDescent="0.3">
      <c r="I5866" s="1"/>
      <c r="S5866" s="1"/>
    </row>
    <row r="5867" spans="9:19" x14ac:dyDescent="0.3">
      <c r="I5867" s="1"/>
      <c r="S5867" s="1"/>
    </row>
    <row r="5868" spans="9:19" x14ac:dyDescent="0.3">
      <c r="I5868" s="1"/>
      <c r="S5868" s="1"/>
    </row>
    <row r="5869" spans="9:19" x14ac:dyDescent="0.3">
      <c r="I5869" s="1"/>
      <c r="S5869" s="1"/>
    </row>
    <row r="5870" spans="9:19" x14ac:dyDescent="0.3">
      <c r="I5870" s="1"/>
      <c r="S5870" s="1"/>
    </row>
    <row r="5871" spans="9:19" x14ac:dyDescent="0.3">
      <c r="I5871" s="1"/>
      <c r="S5871" s="1"/>
    </row>
    <row r="5872" spans="9:19" x14ac:dyDescent="0.3">
      <c r="I5872" s="1"/>
      <c r="S5872" s="1"/>
    </row>
    <row r="5873" spans="9:19" x14ac:dyDescent="0.3">
      <c r="I5873" s="1"/>
      <c r="S5873" s="1"/>
    </row>
    <row r="5874" spans="9:19" x14ac:dyDescent="0.3">
      <c r="I5874" s="1"/>
      <c r="S5874" s="1"/>
    </row>
    <row r="5875" spans="9:19" x14ac:dyDescent="0.3">
      <c r="I5875" s="1"/>
      <c r="S5875" s="1"/>
    </row>
    <row r="5876" spans="9:19" x14ac:dyDescent="0.3">
      <c r="I5876" s="1"/>
      <c r="S5876" s="1"/>
    </row>
    <row r="5877" spans="9:19" x14ac:dyDescent="0.3">
      <c r="I5877" s="1"/>
      <c r="S5877" s="1"/>
    </row>
    <row r="5878" spans="9:19" x14ac:dyDescent="0.3">
      <c r="I5878" s="1"/>
      <c r="S5878" s="1"/>
    </row>
    <row r="5879" spans="9:19" x14ac:dyDescent="0.3">
      <c r="I5879" s="1"/>
      <c r="S5879" s="1"/>
    </row>
    <row r="5880" spans="9:19" x14ac:dyDescent="0.3">
      <c r="I5880" s="1"/>
      <c r="S5880" s="1"/>
    </row>
    <row r="5881" spans="9:19" x14ac:dyDescent="0.3">
      <c r="I5881" s="1"/>
      <c r="S5881" s="1"/>
    </row>
    <row r="5882" spans="9:19" x14ac:dyDescent="0.3">
      <c r="I5882" s="1"/>
      <c r="S5882" s="1"/>
    </row>
    <row r="5883" spans="9:19" x14ac:dyDescent="0.3">
      <c r="I5883" s="1"/>
      <c r="S5883" s="1"/>
    </row>
    <row r="5884" spans="9:19" x14ac:dyDescent="0.3">
      <c r="I5884" s="1"/>
      <c r="S5884" s="1"/>
    </row>
    <row r="5885" spans="9:19" x14ac:dyDescent="0.3">
      <c r="I5885" s="1"/>
      <c r="S5885" s="1"/>
    </row>
    <row r="5886" spans="9:19" x14ac:dyDescent="0.3">
      <c r="I5886" s="1"/>
      <c r="S5886" s="1"/>
    </row>
    <row r="5887" spans="9:19" x14ac:dyDescent="0.3">
      <c r="I5887" s="1"/>
      <c r="S5887" s="1"/>
    </row>
    <row r="5888" spans="9:19" x14ac:dyDescent="0.3">
      <c r="I5888" s="1"/>
      <c r="S5888" s="1"/>
    </row>
    <row r="5889" spans="9:19" x14ac:dyDescent="0.3">
      <c r="I5889" s="1"/>
      <c r="S5889" s="1"/>
    </row>
    <row r="5890" spans="9:19" x14ac:dyDescent="0.3">
      <c r="I5890" s="1"/>
      <c r="S5890" s="1"/>
    </row>
    <row r="5891" spans="9:19" x14ac:dyDescent="0.3">
      <c r="I5891" s="1"/>
      <c r="S5891" s="1"/>
    </row>
    <row r="5892" spans="9:19" x14ac:dyDescent="0.3">
      <c r="I5892" s="1"/>
      <c r="S5892" s="1"/>
    </row>
    <row r="5893" spans="9:19" x14ac:dyDescent="0.3">
      <c r="I5893" s="1"/>
      <c r="S5893" s="1"/>
    </row>
    <row r="5894" spans="9:19" x14ac:dyDescent="0.3">
      <c r="I5894" s="1"/>
      <c r="S5894" s="1"/>
    </row>
    <row r="5895" spans="9:19" x14ac:dyDescent="0.3">
      <c r="I5895" s="1"/>
      <c r="S5895" s="1"/>
    </row>
    <row r="5896" spans="9:19" x14ac:dyDescent="0.3">
      <c r="I5896" s="1"/>
      <c r="S5896" s="1"/>
    </row>
    <row r="5897" spans="9:19" x14ac:dyDescent="0.3">
      <c r="I5897" s="1"/>
      <c r="S5897" s="1"/>
    </row>
    <row r="5898" spans="9:19" x14ac:dyDescent="0.3">
      <c r="I5898" s="1"/>
      <c r="S5898" s="1"/>
    </row>
    <row r="5899" spans="9:19" x14ac:dyDescent="0.3">
      <c r="I5899" s="1"/>
      <c r="S5899" s="1"/>
    </row>
    <row r="5900" spans="9:19" x14ac:dyDescent="0.3">
      <c r="I5900" s="1"/>
      <c r="S5900" s="1"/>
    </row>
    <row r="5901" spans="9:19" x14ac:dyDescent="0.3">
      <c r="I5901" s="1"/>
      <c r="S5901" s="1"/>
    </row>
    <row r="5902" spans="9:19" x14ac:dyDescent="0.3">
      <c r="I5902" s="1"/>
      <c r="S5902" s="1"/>
    </row>
    <row r="5903" spans="9:19" x14ac:dyDescent="0.3">
      <c r="I5903" s="1"/>
      <c r="S5903" s="1"/>
    </row>
    <row r="5904" spans="9:19" x14ac:dyDescent="0.3">
      <c r="I5904" s="1"/>
      <c r="S5904" s="1"/>
    </row>
    <row r="5905" spans="9:19" x14ac:dyDescent="0.3">
      <c r="I5905" s="1"/>
      <c r="S5905" s="1"/>
    </row>
    <row r="5906" spans="9:19" x14ac:dyDescent="0.3">
      <c r="I5906" s="1"/>
      <c r="S5906" s="1"/>
    </row>
    <row r="5907" spans="9:19" x14ac:dyDescent="0.3">
      <c r="I5907" s="1"/>
      <c r="S5907" s="1"/>
    </row>
    <row r="5908" spans="9:19" x14ac:dyDescent="0.3">
      <c r="I5908" s="1"/>
      <c r="S5908" s="1"/>
    </row>
    <row r="5909" spans="9:19" x14ac:dyDescent="0.3">
      <c r="I5909" s="1"/>
      <c r="S5909" s="1"/>
    </row>
    <row r="5910" spans="9:19" x14ac:dyDescent="0.3">
      <c r="I5910" s="1"/>
      <c r="S5910" s="1"/>
    </row>
    <row r="5911" spans="9:19" x14ac:dyDescent="0.3">
      <c r="I5911" s="1"/>
      <c r="S5911" s="1"/>
    </row>
    <row r="5912" spans="9:19" x14ac:dyDescent="0.3">
      <c r="I5912" s="1"/>
      <c r="S5912" s="1"/>
    </row>
    <row r="5913" spans="9:19" x14ac:dyDescent="0.3">
      <c r="I5913" s="1"/>
      <c r="S5913" s="1"/>
    </row>
    <row r="5914" spans="9:19" x14ac:dyDescent="0.3">
      <c r="I5914" s="1"/>
      <c r="S5914" s="1"/>
    </row>
    <row r="5915" spans="9:19" x14ac:dyDescent="0.3">
      <c r="I5915" s="1"/>
      <c r="S5915" s="1"/>
    </row>
    <row r="5916" spans="9:19" x14ac:dyDescent="0.3">
      <c r="I5916" s="1"/>
      <c r="S5916" s="1"/>
    </row>
    <row r="5917" spans="9:19" x14ac:dyDescent="0.3">
      <c r="I5917" s="1"/>
      <c r="S5917" s="1"/>
    </row>
    <row r="5918" spans="9:19" x14ac:dyDescent="0.3">
      <c r="I5918" s="1"/>
      <c r="S5918" s="1"/>
    </row>
    <row r="5919" spans="9:19" x14ac:dyDescent="0.3">
      <c r="I5919" s="1"/>
      <c r="S5919" s="1"/>
    </row>
    <row r="5920" spans="9:19" x14ac:dyDescent="0.3">
      <c r="I5920" s="1"/>
      <c r="S5920" s="1"/>
    </row>
    <row r="5921" spans="9:19" x14ac:dyDescent="0.3">
      <c r="I5921" s="1"/>
      <c r="S5921" s="1"/>
    </row>
    <row r="5922" spans="9:19" x14ac:dyDescent="0.3">
      <c r="I5922" s="1"/>
      <c r="S5922" s="1"/>
    </row>
    <row r="5923" spans="9:19" x14ac:dyDescent="0.3">
      <c r="I5923" s="1"/>
      <c r="S5923" s="1"/>
    </row>
    <row r="5924" spans="9:19" x14ac:dyDescent="0.3">
      <c r="I5924" s="1"/>
      <c r="S5924" s="1"/>
    </row>
    <row r="5925" spans="9:19" x14ac:dyDescent="0.3">
      <c r="I5925" s="1"/>
      <c r="S5925" s="1"/>
    </row>
    <row r="5926" spans="9:19" x14ac:dyDescent="0.3">
      <c r="I5926" s="1"/>
      <c r="S5926" s="1"/>
    </row>
    <row r="5927" spans="9:19" x14ac:dyDescent="0.3">
      <c r="I5927" s="1"/>
      <c r="S5927" s="1"/>
    </row>
    <row r="5928" spans="9:19" x14ac:dyDescent="0.3">
      <c r="I5928" s="1"/>
      <c r="S5928" s="1"/>
    </row>
    <row r="5929" spans="9:19" x14ac:dyDescent="0.3">
      <c r="I5929" s="1"/>
      <c r="S5929" s="1"/>
    </row>
    <row r="5930" spans="9:19" x14ac:dyDescent="0.3">
      <c r="I5930" s="1"/>
      <c r="S5930" s="1"/>
    </row>
    <row r="5931" spans="9:19" x14ac:dyDescent="0.3">
      <c r="I5931" s="1"/>
      <c r="S5931" s="1"/>
    </row>
    <row r="5932" spans="9:19" x14ac:dyDescent="0.3">
      <c r="I5932" s="1"/>
      <c r="S5932" s="1"/>
    </row>
    <row r="5933" spans="9:19" x14ac:dyDescent="0.3">
      <c r="I5933" s="1"/>
      <c r="S5933" s="1"/>
    </row>
    <row r="5934" spans="9:19" x14ac:dyDescent="0.3">
      <c r="I5934" s="1"/>
      <c r="S5934" s="1"/>
    </row>
    <row r="5935" spans="9:19" x14ac:dyDescent="0.3">
      <c r="I5935" s="1"/>
      <c r="S5935" s="1"/>
    </row>
    <row r="5936" spans="9:19" x14ac:dyDescent="0.3">
      <c r="I5936" s="1"/>
      <c r="S5936" s="1"/>
    </row>
    <row r="5937" spans="9:19" x14ac:dyDescent="0.3">
      <c r="I5937" s="1"/>
      <c r="S5937" s="1"/>
    </row>
    <row r="5938" spans="9:19" x14ac:dyDescent="0.3">
      <c r="I5938" s="1"/>
      <c r="S5938" s="1"/>
    </row>
    <row r="5939" spans="9:19" x14ac:dyDescent="0.3">
      <c r="I5939" s="1"/>
      <c r="S5939" s="1"/>
    </row>
    <row r="5940" spans="9:19" x14ac:dyDescent="0.3">
      <c r="I5940" s="1"/>
      <c r="S5940" s="1"/>
    </row>
    <row r="5941" spans="9:19" x14ac:dyDescent="0.3">
      <c r="I5941" s="1"/>
      <c r="S5941" s="1"/>
    </row>
    <row r="5942" spans="9:19" x14ac:dyDescent="0.3">
      <c r="I5942" s="1"/>
      <c r="S5942" s="1"/>
    </row>
    <row r="5943" spans="9:19" x14ac:dyDescent="0.3">
      <c r="I5943" s="1"/>
      <c r="S5943" s="1"/>
    </row>
    <row r="5944" spans="9:19" x14ac:dyDescent="0.3">
      <c r="I5944" s="1"/>
      <c r="S5944" s="1"/>
    </row>
    <row r="5945" spans="9:19" x14ac:dyDescent="0.3">
      <c r="I5945" s="1"/>
      <c r="S5945" s="1"/>
    </row>
    <row r="5946" spans="9:19" x14ac:dyDescent="0.3">
      <c r="I5946" s="1"/>
      <c r="S5946" s="1"/>
    </row>
    <row r="5947" spans="9:19" x14ac:dyDescent="0.3">
      <c r="I5947" s="1"/>
      <c r="S5947" s="1"/>
    </row>
    <row r="5948" spans="9:19" x14ac:dyDescent="0.3">
      <c r="I5948" s="1"/>
      <c r="S5948" s="1"/>
    </row>
    <row r="5949" spans="9:19" x14ac:dyDescent="0.3">
      <c r="I5949" s="1"/>
      <c r="S5949" s="1"/>
    </row>
    <row r="5950" spans="9:19" x14ac:dyDescent="0.3">
      <c r="I5950" s="1"/>
      <c r="S5950" s="1"/>
    </row>
    <row r="5951" spans="9:19" x14ac:dyDescent="0.3">
      <c r="I5951" s="1"/>
      <c r="S5951" s="1"/>
    </row>
    <row r="5952" spans="9:19" x14ac:dyDescent="0.3">
      <c r="I5952" s="1"/>
      <c r="S5952" s="1"/>
    </row>
    <row r="5953" spans="9:19" x14ac:dyDescent="0.3">
      <c r="I5953" s="1"/>
      <c r="S5953" s="1"/>
    </row>
    <row r="5954" spans="9:19" x14ac:dyDescent="0.3">
      <c r="I5954" s="1"/>
      <c r="S5954" s="1"/>
    </row>
    <row r="5955" spans="9:19" x14ac:dyDescent="0.3">
      <c r="I5955" s="1"/>
      <c r="S5955" s="1"/>
    </row>
    <row r="5956" spans="9:19" x14ac:dyDescent="0.3">
      <c r="I5956" s="1"/>
      <c r="S5956" s="1"/>
    </row>
    <row r="5957" spans="9:19" x14ac:dyDescent="0.3">
      <c r="I5957" s="1"/>
      <c r="S5957" s="1"/>
    </row>
    <row r="5958" spans="9:19" x14ac:dyDescent="0.3">
      <c r="I5958" s="1"/>
      <c r="S5958" s="1"/>
    </row>
    <row r="5959" spans="9:19" x14ac:dyDescent="0.3">
      <c r="I5959" s="1"/>
      <c r="S5959" s="1"/>
    </row>
    <row r="5960" spans="9:19" x14ac:dyDescent="0.3">
      <c r="I5960" s="1"/>
      <c r="S5960" s="1"/>
    </row>
    <row r="5961" spans="9:19" x14ac:dyDescent="0.3">
      <c r="I5961" s="1"/>
      <c r="S5961" s="1"/>
    </row>
    <row r="5962" spans="9:19" x14ac:dyDescent="0.3">
      <c r="I5962" s="1"/>
      <c r="S5962" s="1"/>
    </row>
    <row r="5963" spans="9:19" x14ac:dyDescent="0.3">
      <c r="I5963" s="1"/>
      <c r="S5963" s="1"/>
    </row>
    <row r="5964" spans="9:19" x14ac:dyDescent="0.3">
      <c r="I5964" s="1"/>
      <c r="S5964" s="1"/>
    </row>
    <row r="5965" spans="9:19" x14ac:dyDescent="0.3">
      <c r="I5965" s="1"/>
      <c r="S5965" s="1"/>
    </row>
    <row r="5966" spans="9:19" x14ac:dyDescent="0.3">
      <c r="I5966" s="1"/>
      <c r="S5966" s="1"/>
    </row>
    <row r="5967" spans="9:19" x14ac:dyDescent="0.3">
      <c r="I5967" s="1"/>
      <c r="S5967" s="1"/>
    </row>
    <row r="5968" spans="9:19" x14ac:dyDescent="0.3">
      <c r="I5968" s="1"/>
      <c r="S5968" s="1"/>
    </row>
    <row r="5969" spans="9:19" x14ac:dyDescent="0.3">
      <c r="I5969" s="1"/>
      <c r="S5969" s="1"/>
    </row>
    <row r="5970" spans="9:19" x14ac:dyDescent="0.3">
      <c r="I5970" s="1"/>
      <c r="S5970" s="1"/>
    </row>
    <row r="5971" spans="9:19" x14ac:dyDescent="0.3">
      <c r="I5971" s="1"/>
      <c r="S5971" s="1"/>
    </row>
    <row r="5972" spans="9:19" x14ac:dyDescent="0.3">
      <c r="I5972" s="1"/>
      <c r="S5972" s="1"/>
    </row>
    <row r="5973" spans="9:19" x14ac:dyDescent="0.3">
      <c r="I5973" s="1"/>
      <c r="S5973" s="1"/>
    </row>
    <row r="5974" spans="9:19" x14ac:dyDescent="0.3">
      <c r="I5974" s="1"/>
      <c r="S5974" s="1"/>
    </row>
    <row r="5975" spans="9:19" x14ac:dyDescent="0.3">
      <c r="I5975" s="1"/>
      <c r="S5975" s="1"/>
    </row>
    <row r="5976" spans="9:19" x14ac:dyDescent="0.3">
      <c r="I5976" s="1"/>
      <c r="S5976" s="1"/>
    </row>
    <row r="5977" spans="9:19" x14ac:dyDescent="0.3">
      <c r="I5977" s="1"/>
      <c r="S5977" s="1"/>
    </row>
    <row r="5978" spans="9:19" x14ac:dyDescent="0.3">
      <c r="I5978" s="1"/>
      <c r="S5978" s="1"/>
    </row>
    <row r="5979" spans="9:19" x14ac:dyDescent="0.3">
      <c r="I5979" s="1"/>
      <c r="S5979" s="1"/>
    </row>
    <row r="5980" spans="9:19" x14ac:dyDescent="0.3">
      <c r="I5980" s="1"/>
      <c r="S5980" s="1"/>
    </row>
    <row r="5981" spans="9:19" x14ac:dyDescent="0.3">
      <c r="I5981" s="1"/>
      <c r="S5981" s="1"/>
    </row>
    <row r="5982" spans="9:19" x14ac:dyDescent="0.3">
      <c r="I5982" s="1"/>
      <c r="S5982" s="1"/>
    </row>
    <row r="5983" spans="9:19" x14ac:dyDescent="0.3">
      <c r="I5983" s="1"/>
      <c r="S5983" s="1"/>
    </row>
    <row r="5984" spans="9:19" x14ac:dyDescent="0.3">
      <c r="I5984" s="1"/>
      <c r="S5984" s="1"/>
    </row>
    <row r="5985" spans="9:19" x14ac:dyDescent="0.3">
      <c r="I5985" s="1"/>
      <c r="S5985" s="1"/>
    </row>
    <row r="5986" spans="9:19" x14ac:dyDescent="0.3">
      <c r="I5986" s="1"/>
      <c r="S5986" s="1"/>
    </row>
    <row r="5987" spans="9:19" x14ac:dyDescent="0.3">
      <c r="I5987" s="1"/>
      <c r="S5987" s="1"/>
    </row>
    <row r="5988" spans="9:19" x14ac:dyDescent="0.3">
      <c r="I5988" s="1"/>
      <c r="S5988" s="1"/>
    </row>
    <row r="5989" spans="9:19" x14ac:dyDescent="0.3">
      <c r="I5989" s="1"/>
      <c r="S5989" s="1"/>
    </row>
    <row r="5990" spans="9:19" x14ac:dyDescent="0.3">
      <c r="I5990" s="1"/>
      <c r="S5990" s="1"/>
    </row>
    <row r="5991" spans="9:19" x14ac:dyDescent="0.3">
      <c r="I5991" s="1"/>
      <c r="S5991" s="1"/>
    </row>
    <row r="5992" spans="9:19" x14ac:dyDescent="0.3">
      <c r="I5992" s="1"/>
      <c r="S5992" s="1"/>
    </row>
    <row r="5993" spans="9:19" x14ac:dyDescent="0.3">
      <c r="I5993" s="1"/>
      <c r="S5993" s="1"/>
    </row>
    <row r="5994" spans="9:19" x14ac:dyDescent="0.3">
      <c r="I5994" s="1"/>
      <c r="S5994" s="1"/>
    </row>
    <row r="5995" spans="9:19" x14ac:dyDescent="0.3">
      <c r="I5995" s="1"/>
      <c r="S5995" s="1"/>
    </row>
    <row r="5996" spans="9:19" x14ac:dyDescent="0.3">
      <c r="I5996" s="1"/>
      <c r="S5996" s="1"/>
    </row>
    <row r="5997" spans="9:19" x14ac:dyDescent="0.3">
      <c r="I5997" s="1"/>
      <c r="S5997" s="1"/>
    </row>
    <row r="5998" spans="9:19" x14ac:dyDescent="0.3">
      <c r="I5998" s="1"/>
      <c r="S5998" s="1"/>
    </row>
    <row r="5999" spans="9:19" x14ac:dyDescent="0.3">
      <c r="I5999" s="1"/>
      <c r="S5999" s="1"/>
    </row>
    <row r="6000" spans="9:19" x14ac:dyDescent="0.3">
      <c r="I6000" s="1"/>
      <c r="S6000" s="1"/>
    </row>
    <row r="6001" spans="9:19" x14ac:dyDescent="0.3">
      <c r="I6001" s="1"/>
      <c r="S6001" s="1"/>
    </row>
    <row r="6002" spans="9:19" x14ac:dyDescent="0.3">
      <c r="I6002" s="1"/>
      <c r="S6002" s="1"/>
    </row>
    <row r="6003" spans="9:19" x14ac:dyDescent="0.3">
      <c r="I6003" s="1"/>
      <c r="S6003" s="1"/>
    </row>
    <row r="6004" spans="9:19" x14ac:dyDescent="0.3">
      <c r="I6004" s="1"/>
      <c r="S6004" s="1"/>
    </row>
    <row r="6005" spans="9:19" x14ac:dyDescent="0.3">
      <c r="I6005" s="1"/>
      <c r="S6005" s="1"/>
    </row>
    <row r="6006" spans="9:19" x14ac:dyDescent="0.3">
      <c r="I6006" s="1"/>
      <c r="S6006" s="1"/>
    </row>
    <row r="6007" spans="9:19" x14ac:dyDescent="0.3">
      <c r="I6007" s="1"/>
      <c r="S6007" s="1"/>
    </row>
    <row r="6008" spans="9:19" x14ac:dyDescent="0.3">
      <c r="I6008" s="1"/>
      <c r="S6008" s="1"/>
    </row>
    <row r="6009" spans="9:19" x14ac:dyDescent="0.3">
      <c r="I6009" s="1"/>
      <c r="S6009" s="1"/>
    </row>
    <row r="6010" spans="9:19" x14ac:dyDescent="0.3">
      <c r="I6010" s="1"/>
      <c r="S6010" s="1"/>
    </row>
    <row r="6011" spans="9:19" x14ac:dyDescent="0.3">
      <c r="I6011" s="1"/>
      <c r="S6011" s="1"/>
    </row>
    <row r="6012" spans="9:19" x14ac:dyDescent="0.3">
      <c r="I6012" s="1"/>
      <c r="S6012" s="1"/>
    </row>
    <row r="6013" spans="9:19" x14ac:dyDescent="0.3">
      <c r="I6013" s="1"/>
      <c r="S6013" s="1"/>
    </row>
    <row r="6014" spans="9:19" x14ac:dyDescent="0.3">
      <c r="I6014" s="1"/>
      <c r="S6014" s="1"/>
    </row>
    <row r="6015" spans="9:19" x14ac:dyDescent="0.3">
      <c r="I6015" s="1"/>
      <c r="S6015" s="1"/>
    </row>
    <row r="6016" spans="9:19" x14ac:dyDescent="0.3">
      <c r="I6016" s="1"/>
      <c r="S6016" s="1"/>
    </row>
    <row r="6017" spans="9:19" x14ac:dyDescent="0.3">
      <c r="I6017" s="1"/>
      <c r="S6017" s="1"/>
    </row>
    <row r="6018" spans="9:19" x14ac:dyDescent="0.3">
      <c r="I6018" s="1"/>
      <c r="S6018" s="1"/>
    </row>
    <row r="6019" spans="9:19" x14ac:dyDescent="0.3">
      <c r="I6019" s="1"/>
      <c r="S6019" s="1"/>
    </row>
    <row r="6020" spans="9:19" x14ac:dyDescent="0.3">
      <c r="I6020" s="1"/>
      <c r="S6020" s="1"/>
    </row>
    <row r="6021" spans="9:19" x14ac:dyDescent="0.3">
      <c r="I6021" s="1"/>
      <c r="S6021" s="1"/>
    </row>
    <row r="6022" spans="9:19" x14ac:dyDescent="0.3">
      <c r="I6022" s="1"/>
      <c r="S6022" s="1"/>
    </row>
    <row r="6023" spans="9:19" x14ac:dyDescent="0.3">
      <c r="I6023" s="1"/>
      <c r="S6023" s="1"/>
    </row>
    <row r="6024" spans="9:19" x14ac:dyDescent="0.3">
      <c r="I6024" s="1"/>
      <c r="S6024" s="1"/>
    </row>
    <row r="6025" spans="9:19" x14ac:dyDescent="0.3">
      <c r="I6025" s="1"/>
      <c r="S6025" s="1"/>
    </row>
    <row r="6026" spans="9:19" x14ac:dyDescent="0.3">
      <c r="I6026" s="1"/>
      <c r="S6026" s="1"/>
    </row>
    <row r="6027" spans="9:19" x14ac:dyDescent="0.3">
      <c r="I6027" s="1"/>
      <c r="S6027" s="1"/>
    </row>
    <row r="6028" spans="9:19" x14ac:dyDescent="0.3">
      <c r="I6028" s="1"/>
      <c r="S6028" s="1"/>
    </row>
    <row r="6029" spans="9:19" x14ac:dyDescent="0.3">
      <c r="I6029" s="1"/>
      <c r="S6029" s="1"/>
    </row>
    <row r="6030" spans="9:19" x14ac:dyDescent="0.3">
      <c r="I6030" s="1"/>
      <c r="S6030" s="1"/>
    </row>
    <row r="6031" spans="9:19" x14ac:dyDescent="0.3">
      <c r="I6031" s="1"/>
      <c r="S6031" s="1"/>
    </row>
    <row r="6032" spans="9:19" x14ac:dyDescent="0.3">
      <c r="I6032" s="1"/>
      <c r="S6032" s="1"/>
    </row>
    <row r="6033" spans="9:19" x14ac:dyDescent="0.3">
      <c r="I6033" s="1"/>
      <c r="S6033" s="1"/>
    </row>
    <row r="6034" spans="9:19" x14ac:dyDescent="0.3">
      <c r="I6034" s="1"/>
      <c r="S6034" s="1"/>
    </row>
    <row r="6035" spans="9:19" x14ac:dyDescent="0.3">
      <c r="I6035" s="1"/>
      <c r="S6035" s="1"/>
    </row>
    <row r="6036" spans="9:19" x14ac:dyDescent="0.3">
      <c r="I6036" s="1"/>
      <c r="S6036" s="1"/>
    </row>
    <row r="6037" spans="9:19" x14ac:dyDescent="0.3">
      <c r="I6037" s="1"/>
      <c r="S6037" s="1"/>
    </row>
    <row r="6038" spans="9:19" x14ac:dyDescent="0.3">
      <c r="I6038" s="1"/>
      <c r="S6038" s="1"/>
    </row>
    <row r="6039" spans="9:19" x14ac:dyDescent="0.3">
      <c r="I6039" s="1"/>
      <c r="S6039" s="1"/>
    </row>
    <row r="6040" spans="9:19" x14ac:dyDescent="0.3">
      <c r="I6040" s="1"/>
      <c r="S6040" s="1"/>
    </row>
    <row r="6041" spans="9:19" x14ac:dyDescent="0.3">
      <c r="I6041" s="1"/>
      <c r="S6041" s="1"/>
    </row>
    <row r="6042" spans="9:19" x14ac:dyDescent="0.3">
      <c r="I6042" s="1"/>
      <c r="S6042" s="1"/>
    </row>
    <row r="6043" spans="9:19" x14ac:dyDescent="0.3">
      <c r="I6043" s="1"/>
      <c r="S6043" s="1"/>
    </row>
    <row r="6044" spans="9:19" x14ac:dyDescent="0.3">
      <c r="I6044" s="1"/>
      <c r="S6044" s="1"/>
    </row>
    <row r="6045" spans="9:19" x14ac:dyDescent="0.3">
      <c r="I6045" s="1"/>
      <c r="S6045" s="1"/>
    </row>
    <row r="6046" spans="9:19" x14ac:dyDescent="0.3">
      <c r="I6046" s="1"/>
      <c r="S6046" s="1"/>
    </row>
    <row r="6047" spans="9:19" x14ac:dyDescent="0.3">
      <c r="I6047" s="1"/>
      <c r="S6047" s="1"/>
    </row>
    <row r="6048" spans="9:19" x14ac:dyDescent="0.3">
      <c r="I6048" s="1"/>
      <c r="S6048" s="1"/>
    </row>
    <row r="6049" spans="9:19" x14ac:dyDescent="0.3">
      <c r="I6049" s="1"/>
      <c r="S6049" s="1"/>
    </row>
    <row r="6050" spans="9:19" x14ac:dyDescent="0.3">
      <c r="I6050" s="1"/>
      <c r="S6050" s="1"/>
    </row>
    <row r="6051" spans="9:19" x14ac:dyDescent="0.3">
      <c r="I6051" s="1"/>
      <c r="S6051" s="1"/>
    </row>
    <row r="6052" spans="9:19" x14ac:dyDescent="0.3">
      <c r="I6052" s="1"/>
      <c r="S6052" s="1"/>
    </row>
    <row r="6053" spans="9:19" x14ac:dyDescent="0.3">
      <c r="I6053" s="1"/>
      <c r="S6053" s="1"/>
    </row>
    <row r="6054" spans="9:19" x14ac:dyDescent="0.3">
      <c r="I6054" s="1"/>
      <c r="S6054" s="1"/>
    </row>
    <row r="6055" spans="9:19" x14ac:dyDescent="0.3">
      <c r="I6055" s="1"/>
      <c r="S6055" s="1"/>
    </row>
    <row r="6056" spans="9:19" x14ac:dyDescent="0.3">
      <c r="I6056" s="1"/>
      <c r="S6056" s="1"/>
    </row>
    <row r="6057" spans="9:19" x14ac:dyDescent="0.3">
      <c r="I6057" s="1"/>
      <c r="S6057" s="1"/>
    </row>
    <row r="6058" spans="9:19" x14ac:dyDescent="0.3">
      <c r="I6058" s="1"/>
      <c r="S6058" s="1"/>
    </row>
    <row r="6059" spans="9:19" x14ac:dyDescent="0.3">
      <c r="I6059" s="1"/>
      <c r="S6059" s="1"/>
    </row>
    <row r="6060" spans="9:19" x14ac:dyDescent="0.3">
      <c r="I6060" s="1"/>
      <c r="S6060" s="1"/>
    </row>
    <row r="6061" spans="9:19" x14ac:dyDescent="0.3">
      <c r="I6061" s="1"/>
      <c r="S6061" s="1"/>
    </row>
    <row r="6062" spans="9:19" x14ac:dyDescent="0.3">
      <c r="I6062" s="1"/>
      <c r="S6062" s="1"/>
    </row>
    <row r="6063" spans="9:19" x14ac:dyDescent="0.3">
      <c r="I6063" s="1"/>
      <c r="S6063" s="1"/>
    </row>
    <row r="6064" spans="9:19" x14ac:dyDescent="0.3">
      <c r="I6064" s="1"/>
      <c r="S6064" s="1"/>
    </row>
    <row r="6065" spans="9:19" x14ac:dyDescent="0.3">
      <c r="I6065" s="1"/>
      <c r="S6065" s="1"/>
    </row>
    <row r="6066" spans="9:19" x14ac:dyDescent="0.3">
      <c r="I6066" s="1"/>
      <c r="S6066" s="1"/>
    </row>
    <row r="6067" spans="9:19" x14ac:dyDescent="0.3">
      <c r="I6067" s="1"/>
      <c r="S6067" s="1"/>
    </row>
    <row r="6068" spans="9:19" x14ac:dyDescent="0.3">
      <c r="I6068" s="1"/>
      <c r="S6068" s="1"/>
    </row>
    <row r="6069" spans="9:19" x14ac:dyDescent="0.3">
      <c r="I6069" s="1"/>
      <c r="S6069" s="1"/>
    </row>
    <row r="6070" spans="9:19" x14ac:dyDescent="0.3">
      <c r="I6070" s="1"/>
      <c r="S6070" s="1"/>
    </row>
    <row r="6071" spans="9:19" x14ac:dyDescent="0.3">
      <c r="I6071" s="1"/>
      <c r="S6071" s="1"/>
    </row>
    <row r="6072" spans="9:19" x14ac:dyDescent="0.3">
      <c r="I6072" s="1"/>
      <c r="S6072" s="1"/>
    </row>
    <row r="6073" spans="9:19" x14ac:dyDescent="0.3">
      <c r="I6073" s="1"/>
      <c r="S6073" s="1"/>
    </row>
    <row r="6074" spans="9:19" x14ac:dyDescent="0.3">
      <c r="I6074" s="1"/>
      <c r="S6074" s="1"/>
    </row>
    <row r="6075" spans="9:19" x14ac:dyDescent="0.3">
      <c r="I6075" s="1"/>
      <c r="S6075" s="1"/>
    </row>
    <row r="6076" spans="9:19" x14ac:dyDescent="0.3">
      <c r="I6076" s="1"/>
      <c r="S6076" s="1"/>
    </row>
    <row r="6077" spans="9:19" x14ac:dyDescent="0.3">
      <c r="I6077" s="1"/>
      <c r="S6077" s="1"/>
    </row>
    <row r="6078" spans="9:19" x14ac:dyDescent="0.3">
      <c r="I6078" s="1"/>
      <c r="S6078" s="1"/>
    </row>
    <row r="6079" spans="9:19" x14ac:dyDescent="0.3">
      <c r="I6079" s="1"/>
      <c r="S6079" s="1"/>
    </row>
    <row r="6080" spans="9:19" x14ac:dyDescent="0.3">
      <c r="I6080" s="1"/>
      <c r="S6080" s="1"/>
    </row>
    <row r="6081" spans="9:19" x14ac:dyDescent="0.3">
      <c r="I6081" s="1"/>
      <c r="S6081" s="1"/>
    </row>
    <row r="6082" spans="9:19" x14ac:dyDescent="0.3">
      <c r="I6082" s="1"/>
      <c r="S6082" s="1"/>
    </row>
    <row r="6083" spans="9:19" x14ac:dyDescent="0.3">
      <c r="I6083" s="1"/>
      <c r="S6083" s="1"/>
    </row>
    <row r="6084" spans="9:19" x14ac:dyDescent="0.3">
      <c r="I6084" s="1"/>
      <c r="S6084" s="1"/>
    </row>
    <row r="6085" spans="9:19" x14ac:dyDescent="0.3">
      <c r="I6085" s="1"/>
      <c r="S6085" s="1"/>
    </row>
    <row r="6086" spans="9:19" x14ac:dyDescent="0.3">
      <c r="I6086" s="1"/>
      <c r="S6086" s="1"/>
    </row>
    <row r="6087" spans="9:19" x14ac:dyDescent="0.3">
      <c r="I6087" s="1"/>
      <c r="S6087" s="1"/>
    </row>
    <row r="6088" spans="9:19" x14ac:dyDescent="0.3">
      <c r="I6088" s="1"/>
      <c r="S6088" s="1"/>
    </row>
    <row r="6089" spans="9:19" x14ac:dyDescent="0.3">
      <c r="I6089" s="1"/>
      <c r="S6089" s="1"/>
    </row>
    <row r="6090" spans="9:19" x14ac:dyDescent="0.3">
      <c r="I6090" s="1"/>
      <c r="S6090" s="1"/>
    </row>
    <row r="6091" spans="9:19" x14ac:dyDescent="0.3">
      <c r="I6091" s="1"/>
      <c r="S6091" s="1"/>
    </row>
    <row r="6092" spans="9:19" x14ac:dyDescent="0.3">
      <c r="I6092" s="1"/>
      <c r="S6092" s="1"/>
    </row>
    <row r="6093" spans="9:19" x14ac:dyDescent="0.3">
      <c r="I6093" s="1"/>
      <c r="S6093" s="1"/>
    </row>
    <row r="6094" spans="9:19" x14ac:dyDescent="0.3">
      <c r="I6094" s="1"/>
      <c r="S6094" s="1"/>
    </row>
    <row r="6095" spans="9:19" x14ac:dyDescent="0.3">
      <c r="I6095" s="1"/>
      <c r="S6095" s="1"/>
    </row>
    <row r="6096" spans="9:19" x14ac:dyDescent="0.3">
      <c r="I6096" s="1"/>
      <c r="S6096" s="1"/>
    </row>
    <row r="6097" spans="9:19" x14ac:dyDescent="0.3">
      <c r="I6097" s="1"/>
      <c r="S6097" s="1"/>
    </row>
    <row r="6098" spans="9:19" x14ac:dyDescent="0.3">
      <c r="I6098" s="1"/>
      <c r="S6098" s="1"/>
    </row>
    <row r="6099" spans="9:19" x14ac:dyDescent="0.3">
      <c r="I6099" s="1"/>
      <c r="S6099" s="1"/>
    </row>
    <row r="6100" spans="9:19" x14ac:dyDescent="0.3">
      <c r="I6100" s="1"/>
      <c r="S6100" s="1"/>
    </row>
    <row r="6101" spans="9:19" x14ac:dyDescent="0.3">
      <c r="I6101" s="1"/>
      <c r="S6101" s="1"/>
    </row>
    <row r="6102" spans="9:19" x14ac:dyDescent="0.3">
      <c r="I6102" s="1"/>
      <c r="S6102" s="1"/>
    </row>
    <row r="6103" spans="9:19" x14ac:dyDescent="0.3">
      <c r="I6103" s="1"/>
      <c r="S6103" s="1"/>
    </row>
    <row r="6104" spans="9:19" x14ac:dyDescent="0.3">
      <c r="I6104" s="1"/>
      <c r="S6104" s="1"/>
    </row>
    <row r="6105" spans="9:19" x14ac:dyDescent="0.3">
      <c r="I6105" s="1"/>
      <c r="S6105" s="1"/>
    </row>
    <row r="6106" spans="9:19" x14ac:dyDescent="0.3">
      <c r="I6106" s="1"/>
      <c r="S6106" s="1"/>
    </row>
    <row r="6107" spans="9:19" x14ac:dyDescent="0.3">
      <c r="I6107" s="1"/>
      <c r="S6107" s="1"/>
    </row>
    <row r="6108" spans="9:19" x14ac:dyDescent="0.3">
      <c r="I6108" s="1"/>
      <c r="S6108" s="1"/>
    </row>
    <row r="6109" spans="9:19" x14ac:dyDescent="0.3">
      <c r="I6109" s="1"/>
      <c r="S6109" s="1"/>
    </row>
    <row r="6110" spans="9:19" x14ac:dyDescent="0.3">
      <c r="I6110" s="1"/>
      <c r="S6110" s="1"/>
    </row>
    <row r="6111" spans="9:19" x14ac:dyDescent="0.3">
      <c r="I6111" s="1"/>
      <c r="S6111" s="1"/>
    </row>
    <row r="6112" spans="9:19" x14ac:dyDescent="0.3">
      <c r="I6112" s="1"/>
      <c r="S6112" s="1"/>
    </row>
    <row r="6113" spans="9:19" x14ac:dyDescent="0.3">
      <c r="I6113" s="1"/>
      <c r="S6113" s="1"/>
    </row>
    <row r="6114" spans="9:19" x14ac:dyDescent="0.3">
      <c r="I6114" s="1"/>
      <c r="S6114" s="1"/>
    </row>
    <row r="6115" spans="9:19" x14ac:dyDescent="0.3">
      <c r="I6115" s="1"/>
      <c r="S6115" s="1"/>
    </row>
    <row r="6116" spans="9:19" x14ac:dyDescent="0.3">
      <c r="I6116" s="1"/>
      <c r="S6116" s="1"/>
    </row>
    <row r="6117" spans="9:19" x14ac:dyDescent="0.3">
      <c r="I6117" s="1"/>
      <c r="S6117" s="1"/>
    </row>
    <row r="6118" spans="9:19" x14ac:dyDescent="0.3">
      <c r="I6118" s="1"/>
      <c r="S6118" s="1"/>
    </row>
    <row r="6119" spans="9:19" x14ac:dyDescent="0.3">
      <c r="I6119" s="1"/>
      <c r="S6119" s="1"/>
    </row>
    <row r="6120" spans="9:19" x14ac:dyDescent="0.3">
      <c r="I6120" s="1"/>
      <c r="S6120" s="1"/>
    </row>
    <row r="6121" spans="9:19" x14ac:dyDescent="0.3">
      <c r="I6121" s="1"/>
      <c r="S6121" s="1"/>
    </row>
    <row r="6122" spans="9:19" x14ac:dyDescent="0.3">
      <c r="I6122" s="1"/>
      <c r="S6122" s="1"/>
    </row>
    <row r="6123" spans="9:19" x14ac:dyDescent="0.3">
      <c r="I6123" s="1"/>
      <c r="S6123" s="1"/>
    </row>
    <row r="6124" spans="9:19" x14ac:dyDescent="0.3">
      <c r="I6124" s="1"/>
      <c r="S6124" s="1"/>
    </row>
    <row r="6125" spans="9:19" x14ac:dyDescent="0.3">
      <c r="I6125" s="1"/>
      <c r="S6125" s="1"/>
    </row>
    <row r="6126" spans="9:19" x14ac:dyDescent="0.3">
      <c r="I6126" s="1"/>
      <c r="S6126" s="1"/>
    </row>
    <row r="6127" spans="9:19" x14ac:dyDescent="0.3">
      <c r="I6127" s="1"/>
      <c r="S6127" s="1"/>
    </row>
    <row r="6128" spans="9:19" x14ac:dyDescent="0.3">
      <c r="I6128" s="1"/>
      <c r="S6128" s="1"/>
    </row>
    <row r="6129" spans="9:19" x14ac:dyDescent="0.3">
      <c r="I6129" s="1"/>
      <c r="S6129" s="1"/>
    </row>
    <row r="6130" spans="9:19" x14ac:dyDescent="0.3">
      <c r="I6130" s="1"/>
      <c r="S6130" s="1"/>
    </row>
    <row r="6131" spans="9:19" x14ac:dyDescent="0.3">
      <c r="I6131" s="1"/>
      <c r="S6131" s="1"/>
    </row>
    <row r="6132" spans="9:19" x14ac:dyDescent="0.3">
      <c r="I6132" s="1"/>
      <c r="S6132" s="1"/>
    </row>
    <row r="6133" spans="9:19" x14ac:dyDescent="0.3">
      <c r="I6133" s="1"/>
      <c r="S6133" s="1"/>
    </row>
    <row r="6134" spans="9:19" x14ac:dyDescent="0.3">
      <c r="I6134" s="1"/>
      <c r="S6134" s="1"/>
    </row>
    <row r="6135" spans="9:19" x14ac:dyDescent="0.3">
      <c r="I6135" s="1"/>
      <c r="S6135" s="1"/>
    </row>
    <row r="6136" spans="9:19" x14ac:dyDescent="0.3">
      <c r="I6136" s="1"/>
      <c r="S6136" s="1"/>
    </row>
    <row r="6137" spans="9:19" x14ac:dyDescent="0.3">
      <c r="I6137" s="1"/>
      <c r="S6137" s="1"/>
    </row>
    <row r="6138" spans="9:19" x14ac:dyDescent="0.3">
      <c r="I6138" s="1"/>
      <c r="S6138" s="1"/>
    </row>
    <row r="6139" spans="9:19" x14ac:dyDescent="0.3">
      <c r="I6139" s="1"/>
      <c r="S6139" s="1"/>
    </row>
    <row r="6140" spans="9:19" x14ac:dyDescent="0.3">
      <c r="I6140" s="1"/>
      <c r="S6140" s="1"/>
    </row>
    <row r="6141" spans="9:19" x14ac:dyDescent="0.3">
      <c r="I6141" s="1"/>
      <c r="S6141" s="1"/>
    </row>
    <row r="6142" spans="9:19" x14ac:dyDescent="0.3">
      <c r="I6142" s="1"/>
      <c r="S6142" s="1"/>
    </row>
    <row r="6143" spans="9:19" x14ac:dyDescent="0.3">
      <c r="I6143" s="1"/>
      <c r="S6143" s="1"/>
    </row>
    <row r="6144" spans="9:19" x14ac:dyDescent="0.3">
      <c r="I6144" s="1"/>
      <c r="S6144" s="1"/>
    </row>
    <row r="6145" spans="9:19" x14ac:dyDescent="0.3">
      <c r="I6145" s="1"/>
      <c r="S6145" s="1"/>
    </row>
    <row r="6146" spans="9:19" x14ac:dyDescent="0.3">
      <c r="I6146" s="1"/>
      <c r="S6146" s="1"/>
    </row>
    <row r="6147" spans="9:19" x14ac:dyDescent="0.3">
      <c r="I6147" s="1"/>
      <c r="S6147" s="1"/>
    </row>
    <row r="6148" spans="9:19" x14ac:dyDescent="0.3">
      <c r="I6148" s="1"/>
      <c r="S6148" s="1"/>
    </row>
    <row r="6149" spans="9:19" x14ac:dyDescent="0.3">
      <c r="I6149" s="1"/>
      <c r="S6149" s="1"/>
    </row>
    <row r="6150" spans="9:19" x14ac:dyDescent="0.3">
      <c r="I6150" s="1"/>
      <c r="S6150" s="1"/>
    </row>
    <row r="6151" spans="9:19" x14ac:dyDescent="0.3">
      <c r="I6151" s="1"/>
      <c r="S6151" s="1"/>
    </row>
    <row r="6152" spans="9:19" x14ac:dyDescent="0.3">
      <c r="I6152" s="1"/>
      <c r="S6152" s="1"/>
    </row>
    <row r="6153" spans="9:19" x14ac:dyDescent="0.3">
      <c r="I6153" s="1"/>
      <c r="S6153" s="1"/>
    </row>
    <row r="6154" spans="9:19" x14ac:dyDescent="0.3">
      <c r="I6154" s="1"/>
      <c r="S6154" s="1"/>
    </row>
    <row r="6155" spans="9:19" x14ac:dyDescent="0.3">
      <c r="I6155" s="1"/>
      <c r="S6155" s="1"/>
    </row>
    <row r="6156" spans="9:19" x14ac:dyDescent="0.3">
      <c r="I6156" s="1"/>
      <c r="S6156" s="1"/>
    </row>
    <row r="6157" spans="9:19" x14ac:dyDescent="0.3">
      <c r="I6157" s="1"/>
      <c r="S6157" s="1"/>
    </row>
    <row r="6158" spans="9:19" x14ac:dyDescent="0.3">
      <c r="I6158" s="1"/>
      <c r="S6158" s="1"/>
    </row>
    <row r="6159" spans="9:19" x14ac:dyDescent="0.3">
      <c r="I6159" s="1"/>
      <c r="S6159" s="1"/>
    </row>
    <row r="6160" spans="9:19" x14ac:dyDescent="0.3">
      <c r="I6160" s="1"/>
      <c r="S6160" s="1"/>
    </row>
    <row r="6161" spans="9:19" x14ac:dyDescent="0.3">
      <c r="I6161" s="1"/>
      <c r="S6161" s="1"/>
    </row>
    <row r="6162" spans="9:19" x14ac:dyDescent="0.3">
      <c r="I6162" s="1"/>
      <c r="S6162" s="1"/>
    </row>
    <row r="6163" spans="9:19" x14ac:dyDescent="0.3">
      <c r="I6163" s="1"/>
      <c r="S6163" s="1"/>
    </row>
    <row r="6164" spans="9:19" x14ac:dyDescent="0.3">
      <c r="I6164" s="1"/>
      <c r="S6164" s="1"/>
    </row>
    <row r="6165" spans="9:19" x14ac:dyDescent="0.3">
      <c r="I6165" s="1"/>
      <c r="S6165" s="1"/>
    </row>
    <row r="6166" spans="9:19" x14ac:dyDescent="0.3">
      <c r="I6166" s="1"/>
      <c r="S6166" s="1"/>
    </row>
    <row r="6167" spans="9:19" x14ac:dyDescent="0.3">
      <c r="I6167" s="1"/>
      <c r="S6167" s="1"/>
    </row>
    <row r="6168" spans="9:19" x14ac:dyDescent="0.3">
      <c r="I6168" s="1"/>
      <c r="S6168" s="1"/>
    </row>
    <row r="6169" spans="9:19" x14ac:dyDescent="0.3">
      <c r="I6169" s="1"/>
      <c r="S6169" s="1"/>
    </row>
    <row r="6170" spans="9:19" x14ac:dyDescent="0.3">
      <c r="I6170" s="1"/>
      <c r="S6170" s="1"/>
    </row>
    <row r="6171" spans="9:19" x14ac:dyDescent="0.3">
      <c r="I6171" s="1"/>
      <c r="S6171" s="1"/>
    </row>
    <row r="6172" spans="9:19" x14ac:dyDescent="0.3">
      <c r="I6172" s="1"/>
      <c r="S6172" s="1"/>
    </row>
    <row r="6173" spans="9:19" x14ac:dyDescent="0.3">
      <c r="I6173" s="1"/>
      <c r="S6173" s="1"/>
    </row>
    <row r="6174" spans="9:19" x14ac:dyDescent="0.3">
      <c r="I6174" s="1"/>
      <c r="S6174" s="1"/>
    </row>
    <row r="6175" spans="9:19" x14ac:dyDescent="0.3">
      <c r="I6175" s="1"/>
      <c r="S6175" s="1"/>
    </row>
    <row r="6176" spans="9:19" x14ac:dyDescent="0.3">
      <c r="I6176" s="1"/>
      <c r="S6176" s="1"/>
    </row>
    <row r="6177" spans="9:19" x14ac:dyDescent="0.3">
      <c r="I6177" s="1"/>
      <c r="S6177" s="1"/>
    </row>
    <row r="6178" spans="9:19" x14ac:dyDescent="0.3">
      <c r="I6178" s="1"/>
      <c r="S6178" s="1"/>
    </row>
    <row r="6179" spans="9:19" x14ac:dyDescent="0.3">
      <c r="I6179" s="1"/>
      <c r="S6179" s="1"/>
    </row>
    <row r="6180" spans="9:19" x14ac:dyDescent="0.3">
      <c r="I6180" s="1"/>
      <c r="S6180" s="1"/>
    </row>
    <row r="6181" spans="9:19" x14ac:dyDescent="0.3">
      <c r="I6181" s="1"/>
      <c r="S6181" s="1"/>
    </row>
    <row r="6182" spans="9:19" x14ac:dyDescent="0.3">
      <c r="I6182" s="1"/>
      <c r="S6182" s="1"/>
    </row>
    <row r="6183" spans="9:19" x14ac:dyDescent="0.3">
      <c r="I6183" s="1"/>
      <c r="S6183" s="1"/>
    </row>
    <row r="6184" spans="9:19" x14ac:dyDescent="0.3">
      <c r="I6184" s="1"/>
      <c r="S6184" s="1"/>
    </row>
    <row r="6185" spans="9:19" x14ac:dyDescent="0.3">
      <c r="I6185" s="1"/>
      <c r="S6185" s="1"/>
    </row>
    <row r="6186" spans="9:19" x14ac:dyDescent="0.3">
      <c r="I6186" s="1"/>
      <c r="S6186" s="1"/>
    </row>
    <row r="6187" spans="9:19" x14ac:dyDescent="0.3">
      <c r="I6187" s="1"/>
      <c r="S6187" s="1"/>
    </row>
    <row r="6188" spans="9:19" x14ac:dyDescent="0.3">
      <c r="I6188" s="1"/>
      <c r="S6188" s="1"/>
    </row>
    <row r="6189" spans="9:19" x14ac:dyDescent="0.3">
      <c r="I6189" s="1"/>
      <c r="S6189" s="1"/>
    </row>
    <row r="6190" spans="9:19" x14ac:dyDescent="0.3">
      <c r="I6190" s="1"/>
      <c r="S6190" s="1"/>
    </row>
    <row r="6191" spans="9:19" x14ac:dyDescent="0.3">
      <c r="I6191" s="1"/>
      <c r="S6191" s="1"/>
    </row>
    <row r="6192" spans="9:19" x14ac:dyDescent="0.3">
      <c r="I6192" s="1"/>
      <c r="S6192" s="1"/>
    </row>
    <row r="6193" spans="9:19" x14ac:dyDescent="0.3">
      <c r="I6193" s="1"/>
      <c r="S6193" s="1"/>
    </row>
    <row r="6194" spans="9:19" x14ac:dyDescent="0.3">
      <c r="I6194" s="1"/>
      <c r="S6194" s="1"/>
    </row>
    <row r="6195" spans="9:19" x14ac:dyDescent="0.3">
      <c r="I6195" s="1"/>
      <c r="S6195" s="1"/>
    </row>
    <row r="6196" spans="9:19" x14ac:dyDescent="0.3">
      <c r="I6196" s="1"/>
      <c r="S6196" s="1"/>
    </row>
    <row r="6197" spans="9:19" x14ac:dyDescent="0.3">
      <c r="I6197" s="1"/>
      <c r="S6197" s="1"/>
    </row>
    <row r="6198" spans="9:19" x14ac:dyDescent="0.3">
      <c r="I6198" s="1"/>
      <c r="S6198" s="1"/>
    </row>
    <row r="6199" spans="9:19" x14ac:dyDescent="0.3">
      <c r="I6199" s="1"/>
      <c r="S6199" s="1"/>
    </row>
    <row r="6200" spans="9:19" x14ac:dyDescent="0.3">
      <c r="I6200" s="1"/>
      <c r="S6200" s="1"/>
    </row>
    <row r="6201" spans="9:19" x14ac:dyDescent="0.3">
      <c r="I6201" s="1"/>
      <c r="S6201" s="1"/>
    </row>
    <row r="6202" spans="9:19" x14ac:dyDescent="0.3">
      <c r="I6202" s="1"/>
      <c r="S6202" s="1"/>
    </row>
    <row r="6203" spans="9:19" x14ac:dyDescent="0.3">
      <c r="I6203" s="1"/>
      <c r="S6203" s="1"/>
    </row>
    <row r="6204" spans="9:19" x14ac:dyDescent="0.3">
      <c r="I6204" s="1"/>
      <c r="S6204" s="1"/>
    </row>
    <row r="6205" spans="9:19" x14ac:dyDescent="0.3">
      <c r="I6205" s="1"/>
      <c r="S6205" s="1"/>
    </row>
    <row r="6206" spans="9:19" x14ac:dyDescent="0.3">
      <c r="I6206" s="1"/>
      <c r="S6206" s="1"/>
    </row>
    <row r="6207" spans="9:19" x14ac:dyDescent="0.3">
      <c r="I6207" s="1"/>
      <c r="S6207" s="1"/>
    </row>
    <row r="6208" spans="9:19" x14ac:dyDescent="0.3">
      <c r="I6208" s="1"/>
      <c r="S6208" s="1"/>
    </row>
    <row r="6209" spans="9:19" x14ac:dyDescent="0.3">
      <c r="I6209" s="1"/>
      <c r="S6209" s="1"/>
    </row>
    <row r="6210" spans="9:19" x14ac:dyDescent="0.3">
      <c r="I6210" s="1"/>
      <c r="S6210" s="1"/>
    </row>
    <row r="6211" spans="9:19" x14ac:dyDescent="0.3">
      <c r="I6211" s="1"/>
      <c r="S6211" s="1"/>
    </row>
    <row r="6212" spans="9:19" x14ac:dyDescent="0.3">
      <c r="I6212" s="1"/>
      <c r="S6212" s="1"/>
    </row>
    <row r="6213" spans="9:19" x14ac:dyDescent="0.3">
      <c r="I6213" s="1"/>
      <c r="S6213" s="1"/>
    </row>
    <row r="6214" spans="9:19" x14ac:dyDescent="0.3">
      <c r="I6214" s="1"/>
      <c r="S6214" s="1"/>
    </row>
    <row r="6215" spans="9:19" x14ac:dyDescent="0.3">
      <c r="I6215" s="1"/>
      <c r="S6215" s="1"/>
    </row>
    <row r="6216" spans="9:19" x14ac:dyDescent="0.3">
      <c r="I6216" s="1"/>
      <c r="S6216" s="1"/>
    </row>
    <row r="6217" spans="9:19" x14ac:dyDescent="0.3">
      <c r="I6217" s="1"/>
      <c r="S6217" s="1"/>
    </row>
    <row r="6218" spans="9:19" x14ac:dyDescent="0.3">
      <c r="I6218" s="1"/>
      <c r="S6218" s="1"/>
    </row>
    <row r="6219" spans="9:19" x14ac:dyDescent="0.3">
      <c r="I6219" s="1"/>
      <c r="S6219" s="1"/>
    </row>
    <row r="6220" spans="9:19" x14ac:dyDescent="0.3">
      <c r="I6220" s="1"/>
      <c r="S6220" s="1"/>
    </row>
    <row r="6221" spans="9:19" x14ac:dyDescent="0.3">
      <c r="I6221" s="1"/>
      <c r="S6221" s="1"/>
    </row>
    <row r="6222" spans="9:19" x14ac:dyDescent="0.3">
      <c r="I6222" s="1"/>
      <c r="S6222" s="1"/>
    </row>
    <row r="6223" spans="9:19" x14ac:dyDescent="0.3">
      <c r="I6223" s="1"/>
      <c r="S6223" s="1"/>
    </row>
    <row r="6224" spans="9:19" x14ac:dyDescent="0.3">
      <c r="I6224" s="1"/>
      <c r="S6224" s="1"/>
    </row>
    <row r="6225" spans="9:19" x14ac:dyDescent="0.3">
      <c r="I6225" s="1"/>
      <c r="S6225" s="1"/>
    </row>
    <row r="6226" spans="9:19" x14ac:dyDescent="0.3">
      <c r="I6226" s="1"/>
      <c r="S6226" s="1"/>
    </row>
    <row r="6227" spans="9:19" x14ac:dyDescent="0.3">
      <c r="I6227" s="1"/>
      <c r="S6227" s="1"/>
    </row>
    <row r="6228" spans="9:19" x14ac:dyDescent="0.3">
      <c r="I6228" s="1"/>
      <c r="S6228" s="1"/>
    </row>
    <row r="6229" spans="9:19" x14ac:dyDescent="0.3">
      <c r="I6229" s="1"/>
      <c r="S6229" s="1"/>
    </row>
    <row r="6230" spans="9:19" x14ac:dyDescent="0.3">
      <c r="I6230" s="1"/>
      <c r="S6230" s="1"/>
    </row>
    <row r="6231" spans="9:19" x14ac:dyDescent="0.3">
      <c r="I6231" s="1"/>
      <c r="S6231" s="1"/>
    </row>
    <row r="6232" spans="9:19" x14ac:dyDescent="0.3">
      <c r="I6232" s="1"/>
      <c r="S6232" s="1"/>
    </row>
    <row r="6233" spans="9:19" x14ac:dyDescent="0.3">
      <c r="I6233" s="1"/>
      <c r="S6233" s="1"/>
    </row>
    <row r="6234" spans="9:19" x14ac:dyDescent="0.3">
      <c r="I6234" s="1"/>
      <c r="S6234" s="1"/>
    </row>
    <row r="6235" spans="9:19" x14ac:dyDescent="0.3">
      <c r="I6235" s="1"/>
      <c r="S6235" s="1"/>
    </row>
    <row r="6236" spans="9:19" x14ac:dyDescent="0.3">
      <c r="I6236" s="1"/>
      <c r="S6236" s="1"/>
    </row>
    <row r="6237" spans="9:19" x14ac:dyDescent="0.3">
      <c r="I6237" s="1"/>
      <c r="S6237" s="1"/>
    </row>
    <row r="6238" spans="9:19" x14ac:dyDescent="0.3">
      <c r="I6238" s="1"/>
      <c r="S6238" s="1"/>
    </row>
    <row r="6239" spans="9:19" x14ac:dyDescent="0.3">
      <c r="I6239" s="1"/>
      <c r="S6239" s="1"/>
    </row>
    <row r="6240" spans="9:19" x14ac:dyDescent="0.3">
      <c r="I6240" s="1"/>
      <c r="S6240" s="1"/>
    </row>
    <row r="6241" spans="9:19" x14ac:dyDescent="0.3">
      <c r="I6241" s="1"/>
      <c r="S6241" s="1"/>
    </row>
    <row r="6242" spans="9:19" x14ac:dyDescent="0.3">
      <c r="I6242" s="1"/>
      <c r="S6242" s="1"/>
    </row>
    <row r="6243" spans="9:19" x14ac:dyDescent="0.3">
      <c r="I6243" s="1"/>
      <c r="S6243" s="1"/>
    </row>
    <row r="6244" spans="9:19" x14ac:dyDescent="0.3">
      <c r="I6244" s="1"/>
      <c r="S6244" s="1"/>
    </row>
    <row r="6245" spans="9:19" x14ac:dyDescent="0.3">
      <c r="I6245" s="1"/>
      <c r="S6245" s="1"/>
    </row>
    <row r="6246" spans="9:19" x14ac:dyDescent="0.3">
      <c r="I6246" s="1"/>
      <c r="S6246" s="1"/>
    </row>
    <row r="6247" spans="9:19" x14ac:dyDescent="0.3">
      <c r="I6247" s="1"/>
      <c r="S6247" s="1"/>
    </row>
    <row r="6248" spans="9:19" x14ac:dyDescent="0.3">
      <c r="I6248" s="1"/>
      <c r="S6248" s="1"/>
    </row>
    <row r="6249" spans="9:19" x14ac:dyDescent="0.3">
      <c r="I6249" s="1"/>
      <c r="S6249" s="1"/>
    </row>
    <row r="6250" spans="9:19" x14ac:dyDescent="0.3">
      <c r="I6250" s="1"/>
      <c r="S6250" s="1"/>
    </row>
    <row r="6251" spans="9:19" x14ac:dyDescent="0.3">
      <c r="I6251" s="1"/>
      <c r="S6251" s="1"/>
    </row>
    <row r="6252" spans="9:19" x14ac:dyDescent="0.3">
      <c r="I6252" s="1"/>
      <c r="S6252" s="1"/>
    </row>
    <row r="6253" spans="9:19" x14ac:dyDescent="0.3">
      <c r="I6253" s="1"/>
      <c r="S6253" s="1"/>
    </row>
    <row r="6254" spans="9:19" x14ac:dyDescent="0.3">
      <c r="I6254" s="1"/>
      <c r="S6254" s="1"/>
    </row>
    <row r="6255" spans="9:19" x14ac:dyDescent="0.3">
      <c r="I6255" s="1"/>
      <c r="S6255" s="1"/>
    </row>
    <row r="6256" spans="9:19" x14ac:dyDescent="0.3">
      <c r="I6256" s="1"/>
      <c r="S6256" s="1"/>
    </row>
    <row r="6257" spans="9:19" x14ac:dyDescent="0.3">
      <c r="I6257" s="1"/>
      <c r="S6257" s="1"/>
    </row>
    <row r="6258" spans="9:19" x14ac:dyDescent="0.3">
      <c r="I6258" s="1"/>
      <c r="S6258" s="1"/>
    </row>
    <row r="6259" spans="9:19" x14ac:dyDescent="0.3">
      <c r="I6259" s="1"/>
      <c r="S6259" s="1"/>
    </row>
    <row r="6260" spans="9:19" x14ac:dyDescent="0.3">
      <c r="I6260" s="1"/>
      <c r="S6260" s="1"/>
    </row>
    <row r="6261" spans="9:19" x14ac:dyDescent="0.3">
      <c r="I6261" s="1"/>
      <c r="S6261" s="1"/>
    </row>
    <row r="6262" spans="9:19" x14ac:dyDescent="0.3">
      <c r="I6262" s="1"/>
      <c r="S6262" s="1"/>
    </row>
    <row r="6263" spans="9:19" x14ac:dyDescent="0.3">
      <c r="I6263" s="1"/>
      <c r="S6263" s="1"/>
    </row>
    <row r="6264" spans="9:19" x14ac:dyDescent="0.3">
      <c r="I6264" s="1"/>
      <c r="S6264" s="1"/>
    </row>
    <row r="6265" spans="9:19" x14ac:dyDescent="0.3">
      <c r="I6265" s="1"/>
      <c r="S6265" s="1"/>
    </row>
    <row r="6266" spans="9:19" x14ac:dyDescent="0.3">
      <c r="I6266" s="1"/>
      <c r="S6266" s="1"/>
    </row>
    <row r="6267" spans="9:19" x14ac:dyDescent="0.3">
      <c r="I6267" s="1"/>
      <c r="S6267" s="1"/>
    </row>
    <row r="6268" spans="9:19" x14ac:dyDescent="0.3">
      <c r="I6268" s="1"/>
      <c r="S6268" s="1"/>
    </row>
    <row r="6269" spans="9:19" x14ac:dyDescent="0.3">
      <c r="I6269" s="1"/>
      <c r="S6269" s="1"/>
    </row>
    <row r="6270" spans="9:19" x14ac:dyDescent="0.3">
      <c r="I6270" s="1"/>
      <c r="S6270" s="1"/>
    </row>
    <row r="6271" spans="9:19" x14ac:dyDescent="0.3">
      <c r="I6271" s="1"/>
      <c r="S6271" s="1"/>
    </row>
    <row r="6272" spans="9:19" x14ac:dyDescent="0.3">
      <c r="I6272" s="1"/>
      <c r="S6272" s="1"/>
    </row>
    <row r="6273" spans="9:19" x14ac:dyDescent="0.3">
      <c r="I6273" s="1"/>
      <c r="S6273" s="1"/>
    </row>
    <row r="6274" spans="9:19" x14ac:dyDescent="0.3">
      <c r="I6274" s="1"/>
      <c r="S6274" s="1"/>
    </row>
    <row r="6275" spans="9:19" x14ac:dyDescent="0.3">
      <c r="I6275" s="1"/>
      <c r="S6275" s="1"/>
    </row>
    <row r="6276" spans="9:19" x14ac:dyDescent="0.3">
      <c r="I6276" s="1"/>
      <c r="S6276" s="1"/>
    </row>
    <row r="6277" spans="9:19" x14ac:dyDescent="0.3">
      <c r="I6277" s="1"/>
      <c r="S6277" s="1"/>
    </row>
    <row r="6278" spans="9:19" x14ac:dyDescent="0.3">
      <c r="I6278" s="1"/>
      <c r="S6278" s="1"/>
    </row>
    <row r="6279" spans="9:19" x14ac:dyDescent="0.3">
      <c r="I6279" s="1"/>
      <c r="S6279" s="1"/>
    </row>
    <row r="6280" spans="9:19" x14ac:dyDescent="0.3">
      <c r="I6280" s="1"/>
      <c r="S6280" s="1"/>
    </row>
    <row r="6281" spans="9:19" x14ac:dyDescent="0.3">
      <c r="I6281" s="1"/>
      <c r="S6281" s="1"/>
    </row>
    <row r="6282" spans="9:19" x14ac:dyDescent="0.3">
      <c r="I6282" s="1"/>
      <c r="S6282" s="1"/>
    </row>
    <row r="6283" spans="9:19" x14ac:dyDescent="0.3">
      <c r="I6283" s="1"/>
      <c r="S6283" s="1"/>
    </row>
    <row r="6284" spans="9:19" x14ac:dyDescent="0.3">
      <c r="I6284" s="1"/>
      <c r="S6284" s="1"/>
    </row>
    <row r="6285" spans="9:19" x14ac:dyDescent="0.3">
      <c r="I6285" s="1"/>
      <c r="S6285" s="1"/>
    </row>
    <row r="6286" spans="9:19" x14ac:dyDescent="0.3">
      <c r="I6286" s="1"/>
      <c r="S6286" s="1"/>
    </row>
    <row r="6287" spans="9:19" x14ac:dyDescent="0.3">
      <c r="I6287" s="1"/>
      <c r="S6287" s="1"/>
    </row>
    <row r="6288" spans="9:19" x14ac:dyDescent="0.3">
      <c r="I6288" s="1"/>
      <c r="S6288" s="1"/>
    </row>
    <row r="6289" spans="9:19" x14ac:dyDescent="0.3">
      <c r="I6289" s="1"/>
      <c r="S6289" s="1"/>
    </row>
    <row r="6290" spans="9:19" x14ac:dyDescent="0.3">
      <c r="I6290" s="1"/>
      <c r="S6290" s="1"/>
    </row>
    <row r="6291" spans="9:19" x14ac:dyDescent="0.3">
      <c r="I6291" s="1"/>
      <c r="S6291" s="1"/>
    </row>
    <row r="6292" spans="9:19" x14ac:dyDescent="0.3">
      <c r="I6292" s="1"/>
      <c r="S6292" s="1"/>
    </row>
    <row r="6293" spans="9:19" x14ac:dyDescent="0.3">
      <c r="I6293" s="1"/>
      <c r="S6293" s="1"/>
    </row>
    <row r="6294" spans="9:19" x14ac:dyDescent="0.3">
      <c r="I6294" s="1"/>
      <c r="S6294" s="1"/>
    </row>
    <row r="6295" spans="9:19" x14ac:dyDescent="0.3">
      <c r="I6295" s="1"/>
      <c r="S6295" s="1"/>
    </row>
    <row r="6296" spans="9:19" x14ac:dyDescent="0.3">
      <c r="I6296" s="1"/>
      <c r="S6296" s="1"/>
    </row>
    <row r="6297" spans="9:19" x14ac:dyDescent="0.3">
      <c r="I6297" s="1"/>
      <c r="S6297" s="1"/>
    </row>
    <row r="6298" spans="9:19" x14ac:dyDescent="0.3">
      <c r="I6298" s="1"/>
      <c r="S6298" s="1"/>
    </row>
    <row r="6299" spans="9:19" x14ac:dyDescent="0.3">
      <c r="I6299" s="1"/>
      <c r="S6299" s="1"/>
    </row>
    <row r="6300" spans="9:19" x14ac:dyDescent="0.3">
      <c r="I6300" s="1"/>
      <c r="S6300" s="1"/>
    </row>
    <row r="6301" spans="9:19" x14ac:dyDescent="0.3">
      <c r="I6301" s="1"/>
      <c r="S6301" s="1"/>
    </row>
    <row r="6302" spans="9:19" x14ac:dyDescent="0.3">
      <c r="I6302" s="1"/>
      <c r="S6302" s="1"/>
    </row>
    <row r="6303" spans="9:19" x14ac:dyDescent="0.3">
      <c r="I6303" s="1"/>
      <c r="S6303" s="1"/>
    </row>
    <row r="6304" spans="9:19" x14ac:dyDescent="0.3">
      <c r="I6304" s="1"/>
      <c r="S6304" s="1"/>
    </row>
    <row r="6305" spans="9:19" x14ac:dyDescent="0.3">
      <c r="I6305" s="1"/>
      <c r="S6305" s="1"/>
    </row>
    <row r="6306" spans="9:19" x14ac:dyDescent="0.3">
      <c r="I6306" s="1"/>
      <c r="S6306" s="1"/>
    </row>
    <row r="6307" spans="9:19" x14ac:dyDescent="0.3">
      <c r="I6307" s="1"/>
      <c r="S6307" s="1"/>
    </row>
    <row r="6308" spans="9:19" x14ac:dyDescent="0.3">
      <c r="I6308" s="1"/>
      <c r="S6308" s="1"/>
    </row>
    <row r="6309" spans="9:19" x14ac:dyDescent="0.3">
      <c r="I6309" s="1"/>
      <c r="S6309" s="1"/>
    </row>
    <row r="6310" spans="9:19" x14ac:dyDescent="0.3">
      <c r="I6310" s="1"/>
      <c r="S6310" s="1"/>
    </row>
    <row r="6311" spans="9:19" x14ac:dyDescent="0.3">
      <c r="I6311" s="1"/>
      <c r="S6311" s="1"/>
    </row>
    <row r="6312" spans="9:19" x14ac:dyDescent="0.3">
      <c r="I6312" s="1"/>
      <c r="S6312" s="1"/>
    </row>
    <row r="6313" spans="9:19" x14ac:dyDescent="0.3">
      <c r="I6313" s="1"/>
      <c r="S6313" s="1"/>
    </row>
    <row r="6314" spans="9:19" x14ac:dyDescent="0.3">
      <c r="I6314" s="1"/>
      <c r="S6314" s="1"/>
    </row>
    <row r="6315" spans="9:19" x14ac:dyDescent="0.3">
      <c r="I6315" s="1"/>
      <c r="S6315" s="1"/>
    </row>
    <row r="6316" spans="9:19" x14ac:dyDescent="0.3">
      <c r="I6316" s="1"/>
      <c r="S6316" s="1"/>
    </row>
    <row r="6317" spans="9:19" x14ac:dyDescent="0.3">
      <c r="I6317" s="1"/>
      <c r="S6317" s="1"/>
    </row>
    <row r="6318" spans="9:19" x14ac:dyDescent="0.3">
      <c r="I6318" s="1"/>
      <c r="S6318" s="1"/>
    </row>
    <row r="6319" spans="9:19" x14ac:dyDescent="0.3">
      <c r="I6319" s="1"/>
      <c r="S6319" s="1"/>
    </row>
    <row r="6320" spans="9:19" x14ac:dyDescent="0.3">
      <c r="I6320" s="1"/>
      <c r="S6320" s="1"/>
    </row>
    <row r="6321" spans="9:19" x14ac:dyDescent="0.3">
      <c r="I6321" s="1"/>
      <c r="S6321" s="1"/>
    </row>
    <row r="6322" spans="9:19" x14ac:dyDescent="0.3">
      <c r="I6322" s="1"/>
      <c r="S6322" s="1"/>
    </row>
    <row r="6323" spans="9:19" x14ac:dyDescent="0.3">
      <c r="I6323" s="1"/>
      <c r="S6323" s="1"/>
    </row>
    <row r="6324" spans="9:19" x14ac:dyDescent="0.3">
      <c r="I6324" s="1"/>
      <c r="S6324" s="1"/>
    </row>
    <row r="6325" spans="9:19" x14ac:dyDescent="0.3">
      <c r="I6325" s="1"/>
      <c r="S6325" s="1"/>
    </row>
    <row r="6326" spans="9:19" x14ac:dyDescent="0.3">
      <c r="I6326" s="1"/>
      <c r="S6326" s="1"/>
    </row>
    <row r="6327" spans="9:19" x14ac:dyDescent="0.3">
      <c r="I6327" s="1"/>
      <c r="S6327" s="1"/>
    </row>
    <row r="6328" spans="9:19" x14ac:dyDescent="0.3">
      <c r="I6328" s="1"/>
      <c r="S6328" s="1"/>
    </row>
    <row r="6329" spans="9:19" x14ac:dyDescent="0.3">
      <c r="I6329" s="1"/>
      <c r="S6329" s="1"/>
    </row>
    <row r="6330" spans="9:19" x14ac:dyDescent="0.3">
      <c r="I6330" s="1"/>
      <c r="S6330" s="1"/>
    </row>
    <row r="6331" spans="9:19" x14ac:dyDescent="0.3">
      <c r="I6331" s="1"/>
      <c r="S6331" s="1"/>
    </row>
    <row r="6332" spans="9:19" x14ac:dyDescent="0.3">
      <c r="I6332" s="1"/>
      <c r="S6332" s="1"/>
    </row>
    <row r="6333" spans="9:19" x14ac:dyDescent="0.3">
      <c r="I6333" s="1"/>
      <c r="S6333" s="1"/>
    </row>
    <row r="6334" spans="9:19" x14ac:dyDescent="0.3">
      <c r="I6334" s="1"/>
      <c r="S6334" s="1"/>
    </row>
    <row r="6335" spans="9:19" x14ac:dyDescent="0.3">
      <c r="I6335" s="1"/>
      <c r="S6335" s="1"/>
    </row>
    <row r="6336" spans="9:19" x14ac:dyDescent="0.3">
      <c r="I6336" s="1"/>
      <c r="S6336" s="1"/>
    </row>
    <row r="6337" spans="9:19" x14ac:dyDescent="0.3">
      <c r="I6337" s="1"/>
      <c r="S6337" s="1"/>
    </row>
    <row r="6338" spans="9:19" x14ac:dyDescent="0.3">
      <c r="I6338" s="1"/>
      <c r="S6338" s="1"/>
    </row>
    <row r="6339" spans="9:19" x14ac:dyDescent="0.3">
      <c r="I6339" s="1"/>
      <c r="S6339" s="1"/>
    </row>
    <row r="6340" spans="9:19" x14ac:dyDescent="0.3">
      <c r="I6340" s="1"/>
      <c r="S6340" s="1"/>
    </row>
    <row r="6341" spans="9:19" x14ac:dyDescent="0.3">
      <c r="I6341" s="1"/>
      <c r="S6341" s="1"/>
    </row>
    <row r="6342" spans="9:19" x14ac:dyDescent="0.3">
      <c r="I6342" s="1"/>
      <c r="S6342" s="1"/>
    </row>
    <row r="6343" spans="9:19" x14ac:dyDescent="0.3">
      <c r="I6343" s="1"/>
      <c r="S6343" s="1"/>
    </row>
    <row r="6344" spans="9:19" x14ac:dyDescent="0.3">
      <c r="I6344" s="1"/>
      <c r="S6344" s="1"/>
    </row>
    <row r="6345" spans="9:19" x14ac:dyDescent="0.3">
      <c r="I6345" s="1"/>
      <c r="S6345" s="1"/>
    </row>
    <row r="6346" spans="9:19" x14ac:dyDescent="0.3">
      <c r="I6346" s="1"/>
      <c r="S6346" s="1"/>
    </row>
    <row r="6347" spans="9:19" x14ac:dyDescent="0.3">
      <c r="I6347" s="1"/>
      <c r="S6347" s="1"/>
    </row>
    <row r="6348" spans="9:19" x14ac:dyDescent="0.3">
      <c r="I6348" s="1"/>
      <c r="S6348" s="1"/>
    </row>
    <row r="6349" spans="9:19" x14ac:dyDescent="0.3">
      <c r="I6349" s="1"/>
      <c r="S6349" s="1"/>
    </row>
    <row r="6350" spans="9:19" x14ac:dyDescent="0.3">
      <c r="I6350" s="1"/>
      <c r="S6350" s="1"/>
    </row>
    <row r="6351" spans="9:19" x14ac:dyDescent="0.3">
      <c r="I6351" s="1"/>
      <c r="S6351" s="1"/>
    </row>
    <row r="6352" spans="9:19" x14ac:dyDescent="0.3">
      <c r="I6352" s="1"/>
      <c r="S6352" s="1"/>
    </row>
    <row r="6353" spans="9:19" x14ac:dyDescent="0.3">
      <c r="I6353" s="1"/>
      <c r="S6353" s="1"/>
    </row>
    <row r="6354" spans="9:19" x14ac:dyDescent="0.3">
      <c r="I6354" s="1"/>
      <c r="S6354" s="1"/>
    </row>
    <row r="6355" spans="9:19" x14ac:dyDescent="0.3">
      <c r="I6355" s="1"/>
      <c r="S6355" s="1"/>
    </row>
    <row r="6356" spans="9:19" x14ac:dyDescent="0.3">
      <c r="I6356" s="1"/>
      <c r="S6356" s="1"/>
    </row>
    <row r="6357" spans="9:19" x14ac:dyDescent="0.3">
      <c r="I6357" s="1"/>
      <c r="S6357" s="1"/>
    </row>
    <row r="6358" spans="9:19" x14ac:dyDescent="0.3">
      <c r="I6358" s="1"/>
      <c r="S6358" s="1"/>
    </row>
    <row r="6359" spans="9:19" x14ac:dyDescent="0.3">
      <c r="I6359" s="1"/>
      <c r="S6359" s="1"/>
    </row>
    <row r="6360" spans="9:19" x14ac:dyDescent="0.3">
      <c r="I6360" s="1"/>
      <c r="S6360" s="1"/>
    </row>
    <row r="6361" spans="9:19" x14ac:dyDescent="0.3">
      <c r="I6361" s="1"/>
      <c r="S6361" s="1"/>
    </row>
    <row r="6362" spans="9:19" x14ac:dyDescent="0.3">
      <c r="I6362" s="1"/>
      <c r="S6362" s="1"/>
    </row>
    <row r="6363" spans="9:19" x14ac:dyDescent="0.3">
      <c r="I6363" s="1"/>
      <c r="S6363" s="1"/>
    </row>
    <row r="6364" spans="9:19" x14ac:dyDescent="0.3">
      <c r="I6364" s="1"/>
      <c r="S6364" s="1"/>
    </row>
    <row r="6365" spans="9:19" x14ac:dyDescent="0.3">
      <c r="I6365" s="1"/>
      <c r="S6365" s="1"/>
    </row>
    <row r="6366" spans="9:19" x14ac:dyDescent="0.3">
      <c r="I6366" s="1"/>
      <c r="S6366" s="1"/>
    </row>
    <row r="6367" spans="9:19" x14ac:dyDescent="0.3">
      <c r="I6367" s="1"/>
      <c r="S6367" s="1"/>
    </row>
    <row r="6368" spans="9:19" x14ac:dyDescent="0.3">
      <c r="I6368" s="1"/>
      <c r="S6368" s="1"/>
    </row>
    <row r="6369" spans="9:19" x14ac:dyDescent="0.3">
      <c r="I6369" s="1"/>
      <c r="S6369" s="1"/>
    </row>
    <row r="6370" spans="9:19" x14ac:dyDescent="0.3">
      <c r="I6370" s="1"/>
      <c r="S6370" s="1"/>
    </row>
    <row r="6371" spans="9:19" x14ac:dyDescent="0.3">
      <c r="I6371" s="1"/>
      <c r="S6371" s="1"/>
    </row>
    <row r="6372" spans="9:19" x14ac:dyDescent="0.3">
      <c r="I6372" s="1"/>
      <c r="S6372" s="1"/>
    </row>
    <row r="6373" spans="9:19" x14ac:dyDescent="0.3">
      <c r="I6373" s="1"/>
      <c r="S6373" s="1"/>
    </row>
    <row r="6374" spans="9:19" x14ac:dyDescent="0.3">
      <c r="I6374" s="1"/>
      <c r="S6374" s="1"/>
    </row>
    <row r="6375" spans="9:19" x14ac:dyDescent="0.3">
      <c r="I6375" s="1"/>
      <c r="S6375" s="1"/>
    </row>
    <row r="6376" spans="9:19" x14ac:dyDescent="0.3">
      <c r="I6376" s="1"/>
      <c r="S6376" s="1"/>
    </row>
    <row r="6377" spans="9:19" x14ac:dyDescent="0.3">
      <c r="I6377" s="1"/>
      <c r="S6377" s="1"/>
    </row>
    <row r="6378" spans="9:19" x14ac:dyDescent="0.3">
      <c r="I6378" s="1"/>
      <c r="S6378" s="1"/>
    </row>
    <row r="6379" spans="9:19" x14ac:dyDescent="0.3">
      <c r="I6379" s="1"/>
      <c r="S6379" s="1"/>
    </row>
    <row r="6380" spans="9:19" x14ac:dyDescent="0.3">
      <c r="I6380" s="1"/>
      <c r="S6380" s="1"/>
    </row>
    <row r="6381" spans="9:19" x14ac:dyDescent="0.3">
      <c r="I6381" s="1"/>
      <c r="S6381" s="1"/>
    </row>
    <row r="6382" spans="9:19" x14ac:dyDescent="0.3">
      <c r="I6382" s="1"/>
      <c r="S6382" s="1"/>
    </row>
    <row r="6383" spans="9:19" x14ac:dyDescent="0.3">
      <c r="I6383" s="1"/>
      <c r="S6383" s="1"/>
    </row>
    <row r="6384" spans="9:19" x14ac:dyDescent="0.3">
      <c r="I6384" s="1"/>
      <c r="S6384" s="1"/>
    </row>
    <row r="6385" spans="9:19" x14ac:dyDescent="0.3">
      <c r="I6385" s="1"/>
      <c r="S6385" s="1"/>
    </row>
    <row r="6386" spans="9:19" x14ac:dyDescent="0.3">
      <c r="I6386" s="1"/>
      <c r="S6386" s="1"/>
    </row>
    <row r="6387" spans="9:19" x14ac:dyDescent="0.3">
      <c r="I6387" s="1"/>
      <c r="S6387" s="1"/>
    </row>
    <row r="6388" spans="9:19" x14ac:dyDescent="0.3">
      <c r="I6388" s="1"/>
      <c r="S6388" s="1"/>
    </row>
    <row r="6389" spans="9:19" x14ac:dyDescent="0.3">
      <c r="I6389" s="1"/>
      <c r="S6389" s="1"/>
    </row>
    <row r="6390" spans="9:19" x14ac:dyDescent="0.3">
      <c r="I6390" s="1"/>
      <c r="S6390" s="1"/>
    </row>
    <row r="6391" spans="9:19" x14ac:dyDescent="0.3">
      <c r="I6391" s="1"/>
      <c r="S6391" s="1"/>
    </row>
    <row r="6392" spans="9:19" x14ac:dyDescent="0.3">
      <c r="I6392" s="1"/>
      <c r="S6392" s="1"/>
    </row>
    <row r="6393" spans="9:19" x14ac:dyDescent="0.3">
      <c r="I6393" s="1"/>
      <c r="S6393" s="1"/>
    </row>
    <row r="6394" spans="9:19" x14ac:dyDescent="0.3">
      <c r="I6394" s="1"/>
      <c r="S6394" s="1"/>
    </row>
    <row r="6395" spans="9:19" x14ac:dyDescent="0.3">
      <c r="I6395" s="1"/>
      <c r="S6395" s="1"/>
    </row>
    <row r="6396" spans="9:19" x14ac:dyDescent="0.3">
      <c r="I6396" s="1"/>
      <c r="S6396" s="1"/>
    </row>
    <row r="6397" spans="9:19" x14ac:dyDescent="0.3">
      <c r="I6397" s="1"/>
      <c r="S6397" s="1"/>
    </row>
    <row r="6398" spans="9:19" x14ac:dyDescent="0.3">
      <c r="I6398" s="1"/>
      <c r="S6398" s="1"/>
    </row>
    <row r="6399" spans="9:19" x14ac:dyDescent="0.3">
      <c r="I6399" s="1"/>
      <c r="S6399" s="1"/>
    </row>
    <row r="6400" spans="9:19" x14ac:dyDescent="0.3">
      <c r="I6400" s="1"/>
      <c r="S6400" s="1"/>
    </row>
    <row r="6401" spans="9:19" x14ac:dyDescent="0.3">
      <c r="I6401" s="1"/>
      <c r="S6401" s="1"/>
    </row>
    <row r="6402" spans="9:19" x14ac:dyDescent="0.3">
      <c r="I6402" s="1"/>
      <c r="S6402" s="1"/>
    </row>
    <row r="6403" spans="9:19" x14ac:dyDescent="0.3">
      <c r="I6403" s="1"/>
      <c r="S6403" s="1"/>
    </row>
    <row r="6404" spans="9:19" x14ac:dyDescent="0.3">
      <c r="I6404" s="1"/>
      <c r="S6404" s="1"/>
    </row>
    <row r="6405" spans="9:19" x14ac:dyDescent="0.3">
      <c r="I6405" s="1"/>
      <c r="S6405" s="1"/>
    </row>
    <row r="6406" spans="9:19" x14ac:dyDescent="0.3">
      <c r="I6406" s="1"/>
      <c r="S6406" s="1"/>
    </row>
    <row r="6407" spans="9:19" x14ac:dyDescent="0.3">
      <c r="I6407" s="1"/>
      <c r="S6407" s="1"/>
    </row>
    <row r="6408" spans="9:19" x14ac:dyDescent="0.3">
      <c r="I6408" s="1"/>
      <c r="S6408" s="1"/>
    </row>
    <row r="6409" spans="9:19" x14ac:dyDescent="0.3">
      <c r="I6409" s="1"/>
      <c r="S6409" s="1"/>
    </row>
    <row r="6410" spans="9:19" x14ac:dyDescent="0.3">
      <c r="I6410" s="1"/>
      <c r="S6410" s="1"/>
    </row>
    <row r="6411" spans="9:19" x14ac:dyDescent="0.3">
      <c r="I6411" s="1"/>
      <c r="S6411" s="1"/>
    </row>
    <row r="6412" spans="9:19" x14ac:dyDescent="0.3">
      <c r="I6412" s="1"/>
      <c r="S6412" s="1"/>
    </row>
    <row r="6413" spans="9:19" x14ac:dyDescent="0.3">
      <c r="I6413" s="1"/>
      <c r="S6413" s="1"/>
    </row>
    <row r="6414" spans="9:19" x14ac:dyDescent="0.3">
      <c r="I6414" s="1"/>
      <c r="S6414" s="1"/>
    </row>
    <row r="6415" spans="9:19" x14ac:dyDescent="0.3">
      <c r="I6415" s="1"/>
      <c r="S6415" s="1"/>
    </row>
    <row r="6416" spans="9:19" x14ac:dyDescent="0.3">
      <c r="I6416" s="1"/>
      <c r="S6416" s="1"/>
    </row>
    <row r="6417" spans="9:19" x14ac:dyDescent="0.3">
      <c r="I6417" s="1"/>
      <c r="S6417" s="1"/>
    </row>
    <row r="6418" spans="9:19" x14ac:dyDescent="0.3">
      <c r="I6418" s="1"/>
      <c r="S6418" s="1"/>
    </row>
    <row r="6419" spans="9:19" x14ac:dyDescent="0.3">
      <c r="I6419" s="1"/>
      <c r="S6419" s="1"/>
    </row>
    <row r="6420" spans="9:19" x14ac:dyDescent="0.3">
      <c r="I6420" s="1"/>
      <c r="S6420" s="1"/>
    </row>
    <row r="6421" spans="9:19" x14ac:dyDescent="0.3">
      <c r="I6421" s="1"/>
      <c r="S6421" s="1"/>
    </row>
    <row r="6422" spans="9:19" x14ac:dyDescent="0.3">
      <c r="I6422" s="1"/>
      <c r="S6422" s="1"/>
    </row>
    <row r="6423" spans="9:19" x14ac:dyDescent="0.3">
      <c r="I6423" s="1"/>
      <c r="S6423" s="1"/>
    </row>
    <row r="6424" spans="9:19" x14ac:dyDescent="0.3">
      <c r="I6424" s="1"/>
      <c r="S6424" s="1"/>
    </row>
    <row r="6425" spans="9:19" x14ac:dyDescent="0.3">
      <c r="I6425" s="1"/>
      <c r="S6425" s="1"/>
    </row>
    <row r="6426" spans="9:19" x14ac:dyDescent="0.3">
      <c r="I6426" s="1"/>
      <c r="S6426" s="1"/>
    </row>
    <row r="6427" spans="9:19" x14ac:dyDescent="0.3">
      <c r="I6427" s="1"/>
      <c r="S6427" s="1"/>
    </row>
    <row r="6428" spans="9:19" x14ac:dyDescent="0.3">
      <c r="I6428" s="1"/>
      <c r="S6428" s="1"/>
    </row>
    <row r="6429" spans="9:19" x14ac:dyDescent="0.3">
      <c r="I6429" s="1"/>
      <c r="S6429" s="1"/>
    </row>
    <row r="6430" spans="9:19" x14ac:dyDescent="0.3">
      <c r="I6430" s="1"/>
      <c r="S6430" s="1"/>
    </row>
    <row r="6431" spans="9:19" x14ac:dyDescent="0.3">
      <c r="I6431" s="1"/>
      <c r="S6431" s="1"/>
    </row>
    <row r="6432" spans="9:19" x14ac:dyDescent="0.3">
      <c r="I6432" s="1"/>
      <c r="S6432" s="1"/>
    </row>
    <row r="6433" spans="9:19" x14ac:dyDescent="0.3">
      <c r="I6433" s="1"/>
      <c r="S6433" s="1"/>
    </row>
    <row r="6434" spans="9:19" x14ac:dyDescent="0.3">
      <c r="I6434" s="1"/>
      <c r="S6434" s="1"/>
    </row>
    <row r="6435" spans="9:19" x14ac:dyDescent="0.3">
      <c r="I6435" s="1"/>
      <c r="S6435" s="1"/>
    </row>
    <row r="6436" spans="9:19" x14ac:dyDescent="0.3">
      <c r="I6436" s="1"/>
      <c r="S6436" s="1"/>
    </row>
    <row r="6437" spans="9:19" x14ac:dyDescent="0.3">
      <c r="I6437" s="1"/>
      <c r="S6437" s="1"/>
    </row>
    <row r="6438" spans="9:19" x14ac:dyDescent="0.3">
      <c r="I6438" s="1"/>
      <c r="S6438" s="1"/>
    </row>
    <row r="6439" spans="9:19" x14ac:dyDescent="0.3">
      <c r="I6439" s="1"/>
      <c r="S6439" s="1"/>
    </row>
    <row r="6440" spans="9:19" x14ac:dyDescent="0.3">
      <c r="I6440" s="1"/>
      <c r="S6440" s="1"/>
    </row>
    <row r="6441" spans="9:19" x14ac:dyDescent="0.3">
      <c r="I6441" s="1"/>
      <c r="S6441" s="1"/>
    </row>
    <row r="6442" spans="9:19" x14ac:dyDescent="0.3">
      <c r="I6442" s="1"/>
      <c r="S6442" s="1"/>
    </row>
    <row r="6443" spans="9:19" x14ac:dyDescent="0.3">
      <c r="I6443" s="1"/>
      <c r="S6443" s="1"/>
    </row>
    <row r="6444" spans="9:19" x14ac:dyDescent="0.3">
      <c r="I6444" s="1"/>
      <c r="S6444" s="1"/>
    </row>
    <row r="6445" spans="9:19" x14ac:dyDescent="0.3">
      <c r="I6445" s="1"/>
      <c r="S6445" s="1"/>
    </row>
    <row r="6446" spans="9:19" x14ac:dyDescent="0.3">
      <c r="I6446" s="1"/>
      <c r="S6446" s="1"/>
    </row>
    <row r="6447" spans="9:19" x14ac:dyDescent="0.3">
      <c r="I6447" s="1"/>
      <c r="S6447" s="1"/>
    </row>
    <row r="6448" spans="9:19" x14ac:dyDescent="0.3">
      <c r="I6448" s="1"/>
      <c r="S6448" s="1"/>
    </row>
    <row r="6449" spans="9:19" x14ac:dyDescent="0.3">
      <c r="I6449" s="1"/>
      <c r="S6449" s="1"/>
    </row>
    <row r="6450" spans="9:19" x14ac:dyDescent="0.3">
      <c r="I6450" s="1"/>
      <c r="S6450" s="1"/>
    </row>
    <row r="6451" spans="9:19" x14ac:dyDescent="0.3">
      <c r="I6451" s="1"/>
      <c r="S6451" s="1"/>
    </row>
    <row r="6452" spans="9:19" x14ac:dyDescent="0.3">
      <c r="I6452" s="1"/>
      <c r="S6452" s="1"/>
    </row>
    <row r="6453" spans="9:19" x14ac:dyDescent="0.3">
      <c r="I6453" s="1"/>
      <c r="S6453" s="1"/>
    </row>
    <row r="6454" spans="9:19" x14ac:dyDescent="0.3">
      <c r="I6454" s="1"/>
      <c r="S6454" s="1"/>
    </row>
    <row r="6455" spans="9:19" x14ac:dyDescent="0.3">
      <c r="I6455" s="1"/>
      <c r="S6455" s="1"/>
    </row>
    <row r="6456" spans="9:19" x14ac:dyDescent="0.3">
      <c r="I6456" s="1"/>
      <c r="S6456" s="1"/>
    </row>
    <row r="6457" spans="9:19" x14ac:dyDescent="0.3">
      <c r="I6457" s="1"/>
      <c r="S6457" s="1"/>
    </row>
    <row r="6458" spans="9:19" x14ac:dyDescent="0.3">
      <c r="I6458" s="1"/>
      <c r="S6458" s="1"/>
    </row>
    <row r="6459" spans="9:19" x14ac:dyDescent="0.3">
      <c r="I6459" s="1"/>
      <c r="S6459" s="1"/>
    </row>
    <row r="6460" spans="9:19" x14ac:dyDescent="0.3">
      <c r="I6460" s="1"/>
      <c r="S6460" s="1"/>
    </row>
    <row r="6461" spans="9:19" x14ac:dyDescent="0.3">
      <c r="I6461" s="1"/>
      <c r="S6461" s="1"/>
    </row>
    <row r="6462" spans="9:19" x14ac:dyDescent="0.3">
      <c r="I6462" s="1"/>
      <c r="S6462" s="1"/>
    </row>
    <row r="6463" spans="9:19" x14ac:dyDescent="0.3">
      <c r="I6463" s="1"/>
      <c r="S6463" s="1"/>
    </row>
    <row r="6464" spans="9:19" x14ac:dyDescent="0.3">
      <c r="I6464" s="1"/>
      <c r="S6464" s="1"/>
    </row>
    <row r="6465" spans="9:19" x14ac:dyDescent="0.3">
      <c r="I6465" s="1"/>
      <c r="S6465" s="1"/>
    </row>
    <row r="6466" spans="9:19" x14ac:dyDescent="0.3">
      <c r="I6466" s="1"/>
      <c r="S6466" s="1"/>
    </row>
    <row r="6467" spans="9:19" x14ac:dyDescent="0.3">
      <c r="I6467" s="1"/>
      <c r="S6467" s="1"/>
    </row>
    <row r="6468" spans="9:19" x14ac:dyDescent="0.3">
      <c r="I6468" s="1"/>
      <c r="S6468" s="1"/>
    </row>
    <row r="6469" spans="9:19" x14ac:dyDescent="0.3">
      <c r="I6469" s="1"/>
      <c r="S6469" s="1"/>
    </row>
    <row r="6470" spans="9:19" x14ac:dyDescent="0.3">
      <c r="I6470" s="1"/>
      <c r="S6470" s="1"/>
    </row>
    <row r="6471" spans="9:19" x14ac:dyDescent="0.3">
      <c r="I6471" s="1"/>
      <c r="S6471" s="1"/>
    </row>
    <row r="6472" spans="9:19" x14ac:dyDescent="0.3">
      <c r="I6472" s="1"/>
      <c r="S6472" s="1"/>
    </row>
    <row r="6473" spans="9:19" x14ac:dyDescent="0.3">
      <c r="I6473" s="1"/>
      <c r="S6473" s="1"/>
    </row>
    <row r="6474" spans="9:19" x14ac:dyDescent="0.3">
      <c r="I6474" s="1"/>
      <c r="S6474" s="1"/>
    </row>
    <row r="6475" spans="9:19" x14ac:dyDescent="0.3">
      <c r="I6475" s="1"/>
      <c r="S6475" s="1"/>
    </row>
    <row r="6476" spans="9:19" x14ac:dyDescent="0.3">
      <c r="I6476" s="1"/>
      <c r="S6476" s="1"/>
    </row>
    <row r="6477" spans="9:19" x14ac:dyDescent="0.3">
      <c r="I6477" s="1"/>
      <c r="S6477" s="1"/>
    </row>
    <row r="6478" spans="9:19" x14ac:dyDescent="0.3">
      <c r="I6478" s="1"/>
      <c r="S6478" s="1"/>
    </row>
    <row r="6479" spans="9:19" x14ac:dyDescent="0.3">
      <c r="I6479" s="1"/>
      <c r="S6479" s="1"/>
    </row>
    <row r="6480" spans="9:19" x14ac:dyDescent="0.3">
      <c r="I6480" s="1"/>
      <c r="S6480" s="1"/>
    </row>
    <row r="6481" spans="9:19" x14ac:dyDescent="0.3">
      <c r="I6481" s="1"/>
      <c r="S6481" s="1"/>
    </row>
    <row r="6482" spans="9:19" x14ac:dyDescent="0.3">
      <c r="I6482" s="1"/>
      <c r="S6482" s="1"/>
    </row>
    <row r="6483" spans="9:19" x14ac:dyDescent="0.3">
      <c r="I6483" s="1"/>
      <c r="S6483" s="1"/>
    </row>
    <row r="6484" spans="9:19" x14ac:dyDescent="0.3">
      <c r="I6484" s="1"/>
      <c r="S6484" s="1"/>
    </row>
    <row r="6485" spans="9:19" x14ac:dyDescent="0.3">
      <c r="I6485" s="1"/>
      <c r="S6485" s="1"/>
    </row>
    <row r="6486" spans="9:19" x14ac:dyDescent="0.3">
      <c r="I6486" s="1"/>
      <c r="S6486" s="1"/>
    </row>
    <row r="6487" spans="9:19" x14ac:dyDescent="0.3">
      <c r="I6487" s="1"/>
      <c r="S6487" s="1"/>
    </row>
    <row r="6488" spans="9:19" x14ac:dyDescent="0.3">
      <c r="I6488" s="1"/>
      <c r="S6488" s="1"/>
    </row>
    <row r="6489" spans="9:19" x14ac:dyDescent="0.3">
      <c r="I6489" s="1"/>
      <c r="S6489" s="1"/>
    </row>
    <row r="6490" spans="9:19" x14ac:dyDescent="0.3">
      <c r="I6490" s="1"/>
      <c r="S6490" s="1"/>
    </row>
    <row r="6491" spans="9:19" x14ac:dyDescent="0.3">
      <c r="I6491" s="1"/>
      <c r="S6491" s="1"/>
    </row>
    <row r="6492" spans="9:19" x14ac:dyDescent="0.3">
      <c r="I6492" s="1"/>
      <c r="S6492" s="1"/>
    </row>
    <row r="6493" spans="9:19" x14ac:dyDescent="0.3">
      <c r="I6493" s="1"/>
      <c r="S6493" s="1"/>
    </row>
    <row r="6494" spans="9:19" x14ac:dyDescent="0.3">
      <c r="I6494" s="1"/>
      <c r="S6494" s="1"/>
    </row>
    <row r="6495" spans="9:19" x14ac:dyDescent="0.3">
      <c r="I6495" s="1"/>
      <c r="S6495" s="1"/>
    </row>
    <row r="6496" spans="9:19" x14ac:dyDescent="0.3">
      <c r="I6496" s="1"/>
      <c r="S6496" s="1"/>
    </row>
    <row r="6497" spans="9:19" x14ac:dyDescent="0.3">
      <c r="I6497" s="1"/>
      <c r="S6497" s="1"/>
    </row>
    <row r="6498" spans="9:19" x14ac:dyDescent="0.3">
      <c r="I6498" s="1"/>
      <c r="S6498" s="1"/>
    </row>
    <row r="6499" spans="9:19" x14ac:dyDescent="0.3">
      <c r="I6499" s="1"/>
      <c r="S6499" s="1"/>
    </row>
    <row r="6500" spans="9:19" x14ac:dyDescent="0.3">
      <c r="I6500" s="1"/>
      <c r="S6500" s="1"/>
    </row>
    <row r="6501" spans="9:19" x14ac:dyDescent="0.3">
      <c r="I6501" s="1"/>
      <c r="S6501" s="1"/>
    </row>
    <row r="6502" spans="9:19" x14ac:dyDescent="0.3">
      <c r="I6502" s="1"/>
      <c r="S6502" s="1"/>
    </row>
    <row r="6503" spans="9:19" x14ac:dyDescent="0.3">
      <c r="I6503" s="1"/>
      <c r="S6503" s="1"/>
    </row>
    <row r="6504" spans="9:19" x14ac:dyDescent="0.3">
      <c r="I6504" s="1"/>
      <c r="S6504" s="1"/>
    </row>
    <row r="6505" spans="9:19" x14ac:dyDescent="0.3">
      <c r="I6505" s="1"/>
      <c r="S6505" s="1"/>
    </row>
    <row r="6506" spans="9:19" x14ac:dyDescent="0.3">
      <c r="I6506" s="1"/>
      <c r="S6506" s="1"/>
    </row>
    <row r="6507" spans="9:19" x14ac:dyDescent="0.3">
      <c r="I6507" s="1"/>
      <c r="S6507" s="1"/>
    </row>
    <row r="6508" spans="9:19" x14ac:dyDescent="0.3">
      <c r="I6508" s="1"/>
      <c r="S6508" s="1"/>
    </row>
    <row r="6509" spans="9:19" x14ac:dyDescent="0.3">
      <c r="I6509" s="1"/>
      <c r="S6509" s="1"/>
    </row>
    <row r="6510" spans="9:19" x14ac:dyDescent="0.3">
      <c r="I6510" s="1"/>
      <c r="S6510" s="1"/>
    </row>
    <row r="6511" spans="9:19" x14ac:dyDescent="0.3">
      <c r="I6511" s="1"/>
      <c r="S6511" s="1"/>
    </row>
    <row r="6512" spans="9:19" x14ac:dyDescent="0.3">
      <c r="I6512" s="1"/>
      <c r="S6512" s="1"/>
    </row>
    <row r="6513" spans="9:19" x14ac:dyDescent="0.3">
      <c r="I6513" s="1"/>
      <c r="S6513" s="1"/>
    </row>
    <row r="6514" spans="9:19" x14ac:dyDescent="0.3">
      <c r="I6514" s="1"/>
      <c r="S6514" s="1"/>
    </row>
    <row r="6515" spans="9:19" x14ac:dyDescent="0.3">
      <c r="I6515" s="1"/>
      <c r="S6515" s="1"/>
    </row>
    <row r="6516" spans="9:19" x14ac:dyDescent="0.3">
      <c r="I6516" s="1"/>
      <c r="S6516" s="1"/>
    </row>
    <row r="6517" spans="9:19" x14ac:dyDescent="0.3">
      <c r="I6517" s="1"/>
      <c r="S6517" s="1"/>
    </row>
    <row r="6518" spans="9:19" x14ac:dyDescent="0.3">
      <c r="I6518" s="1"/>
      <c r="S6518" s="1"/>
    </row>
    <row r="6519" spans="9:19" x14ac:dyDescent="0.3">
      <c r="I6519" s="1"/>
      <c r="S6519" s="1"/>
    </row>
    <row r="6520" spans="9:19" x14ac:dyDescent="0.3">
      <c r="I6520" s="1"/>
      <c r="S6520" s="1"/>
    </row>
    <row r="6521" spans="9:19" x14ac:dyDescent="0.3">
      <c r="I6521" s="1"/>
      <c r="S6521" s="1"/>
    </row>
    <row r="6522" spans="9:19" x14ac:dyDescent="0.3">
      <c r="I6522" s="1"/>
      <c r="S6522" s="1"/>
    </row>
    <row r="6523" spans="9:19" x14ac:dyDescent="0.3">
      <c r="I6523" s="1"/>
      <c r="S6523" s="1"/>
    </row>
    <row r="6524" spans="9:19" x14ac:dyDescent="0.3">
      <c r="I6524" s="1"/>
      <c r="S6524" s="1"/>
    </row>
    <row r="6525" spans="9:19" x14ac:dyDescent="0.3">
      <c r="I6525" s="1"/>
      <c r="S6525" s="1"/>
    </row>
    <row r="6526" spans="9:19" x14ac:dyDescent="0.3">
      <c r="I6526" s="1"/>
      <c r="S6526" s="1"/>
    </row>
    <row r="6527" spans="9:19" x14ac:dyDescent="0.3">
      <c r="I6527" s="1"/>
      <c r="S6527" s="1"/>
    </row>
    <row r="6528" spans="9:19" x14ac:dyDescent="0.3">
      <c r="I6528" s="1"/>
      <c r="S6528" s="1"/>
    </row>
    <row r="6529" spans="9:19" x14ac:dyDescent="0.3">
      <c r="I6529" s="1"/>
      <c r="S6529" s="1"/>
    </row>
    <row r="6530" spans="9:19" x14ac:dyDescent="0.3">
      <c r="I6530" s="1"/>
      <c r="S6530" s="1"/>
    </row>
    <row r="6531" spans="9:19" x14ac:dyDescent="0.3">
      <c r="I6531" s="1"/>
      <c r="S6531" s="1"/>
    </row>
    <row r="6532" spans="9:19" x14ac:dyDescent="0.3">
      <c r="I6532" s="1"/>
      <c r="S6532" s="1"/>
    </row>
    <row r="6533" spans="9:19" x14ac:dyDescent="0.3">
      <c r="I6533" s="1"/>
      <c r="S6533" s="1"/>
    </row>
    <row r="6534" spans="9:19" x14ac:dyDescent="0.3">
      <c r="I6534" s="1"/>
      <c r="S6534" s="1"/>
    </row>
    <row r="6535" spans="9:19" x14ac:dyDescent="0.3">
      <c r="I6535" s="1"/>
      <c r="S6535" s="1"/>
    </row>
    <row r="6536" spans="9:19" x14ac:dyDescent="0.3">
      <c r="I6536" s="1"/>
      <c r="S6536" s="1"/>
    </row>
    <row r="6537" spans="9:19" x14ac:dyDescent="0.3">
      <c r="I6537" s="1"/>
      <c r="S6537" s="1"/>
    </row>
    <row r="6538" spans="9:19" x14ac:dyDescent="0.3">
      <c r="I6538" s="1"/>
      <c r="S6538" s="1"/>
    </row>
    <row r="6539" spans="9:19" x14ac:dyDescent="0.3">
      <c r="I6539" s="1"/>
      <c r="S6539" s="1"/>
    </row>
    <row r="6540" spans="9:19" x14ac:dyDescent="0.3">
      <c r="I6540" s="1"/>
      <c r="S6540" s="1"/>
    </row>
    <row r="6541" spans="9:19" x14ac:dyDescent="0.3">
      <c r="I6541" s="1"/>
      <c r="S6541" s="1"/>
    </row>
    <row r="6542" spans="9:19" x14ac:dyDescent="0.3">
      <c r="I6542" s="1"/>
      <c r="S6542" s="1"/>
    </row>
    <row r="6543" spans="9:19" x14ac:dyDescent="0.3">
      <c r="I6543" s="1"/>
      <c r="S6543" s="1"/>
    </row>
    <row r="6544" spans="9:19" x14ac:dyDescent="0.3">
      <c r="I6544" s="1"/>
      <c r="S6544" s="1"/>
    </row>
    <row r="6545" spans="9:19" x14ac:dyDescent="0.3">
      <c r="I6545" s="1"/>
      <c r="S6545" s="1"/>
    </row>
    <row r="6546" spans="9:19" x14ac:dyDescent="0.3">
      <c r="I6546" s="1"/>
      <c r="S6546" s="1"/>
    </row>
    <row r="6547" spans="9:19" x14ac:dyDescent="0.3">
      <c r="I6547" s="1"/>
      <c r="S6547" s="1"/>
    </row>
    <row r="6548" spans="9:19" x14ac:dyDescent="0.3">
      <c r="I6548" s="1"/>
      <c r="S6548" s="1"/>
    </row>
    <row r="6549" spans="9:19" x14ac:dyDescent="0.3">
      <c r="I6549" s="1"/>
      <c r="S6549" s="1"/>
    </row>
    <row r="6550" spans="9:19" x14ac:dyDescent="0.3">
      <c r="I6550" s="1"/>
      <c r="S6550" s="1"/>
    </row>
    <row r="6551" spans="9:19" x14ac:dyDescent="0.3">
      <c r="I6551" s="1"/>
      <c r="S6551" s="1"/>
    </row>
    <row r="6552" spans="9:19" x14ac:dyDescent="0.3">
      <c r="I6552" s="1"/>
      <c r="S6552" s="1"/>
    </row>
    <row r="6553" spans="9:19" x14ac:dyDescent="0.3">
      <c r="I6553" s="1"/>
      <c r="S6553" s="1"/>
    </row>
    <row r="6554" spans="9:19" x14ac:dyDescent="0.3">
      <c r="I6554" s="1"/>
      <c r="S6554" s="1"/>
    </row>
    <row r="6555" spans="9:19" x14ac:dyDescent="0.3">
      <c r="I6555" s="1"/>
      <c r="S6555" s="1"/>
    </row>
    <row r="6556" spans="9:19" x14ac:dyDescent="0.3">
      <c r="I6556" s="1"/>
      <c r="S6556" s="1"/>
    </row>
    <row r="6557" spans="9:19" x14ac:dyDescent="0.3">
      <c r="I6557" s="1"/>
      <c r="S6557" s="1"/>
    </row>
    <row r="6558" spans="9:19" x14ac:dyDescent="0.3">
      <c r="I6558" s="1"/>
      <c r="S6558" s="1"/>
    </row>
    <row r="6559" spans="9:19" x14ac:dyDescent="0.3">
      <c r="I6559" s="1"/>
      <c r="S6559" s="1"/>
    </row>
    <row r="6560" spans="9:19" x14ac:dyDescent="0.3">
      <c r="I6560" s="1"/>
      <c r="S6560" s="1"/>
    </row>
    <row r="6561" spans="9:19" x14ac:dyDescent="0.3">
      <c r="I6561" s="1"/>
      <c r="S6561" s="1"/>
    </row>
    <row r="6562" spans="9:19" x14ac:dyDescent="0.3">
      <c r="I6562" s="1"/>
      <c r="S6562" s="1"/>
    </row>
    <row r="6563" spans="9:19" x14ac:dyDescent="0.3">
      <c r="I6563" s="1"/>
      <c r="S6563" s="1"/>
    </row>
    <row r="6564" spans="9:19" x14ac:dyDescent="0.3">
      <c r="I6564" s="1"/>
      <c r="S6564" s="1"/>
    </row>
    <row r="6565" spans="9:19" x14ac:dyDescent="0.3">
      <c r="I6565" s="1"/>
      <c r="S6565" s="1"/>
    </row>
    <row r="6566" spans="9:19" x14ac:dyDescent="0.3">
      <c r="I6566" s="1"/>
      <c r="S6566" s="1"/>
    </row>
    <row r="6567" spans="9:19" x14ac:dyDescent="0.3">
      <c r="I6567" s="1"/>
      <c r="S6567" s="1"/>
    </row>
    <row r="6568" spans="9:19" x14ac:dyDescent="0.3">
      <c r="I6568" s="1"/>
      <c r="S6568" s="1"/>
    </row>
    <row r="6569" spans="9:19" x14ac:dyDescent="0.3">
      <c r="I6569" s="1"/>
      <c r="S6569" s="1"/>
    </row>
    <row r="6570" spans="9:19" x14ac:dyDescent="0.3">
      <c r="I6570" s="1"/>
      <c r="S6570" s="1"/>
    </row>
    <row r="6571" spans="9:19" x14ac:dyDescent="0.3">
      <c r="I6571" s="1"/>
      <c r="S6571" s="1"/>
    </row>
    <row r="6572" spans="9:19" x14ac:dyDescent="0.3">
      <c r="I6572" s="1"/>
      <c r="S6572" s="1"/>
    </row>
    <row r="6573" spans="9:19" x14ac:dyDescent="0.3">
      <c r="I6573" s="1"/>
      <c r="S6573" s="1"/>
    </row>
    <row r="6574" spans="9:19" x14ac:dyDescent="0.3">
      <c r="I6574" s="1"/>
      <c r="S6574" s="1"/>
    </row>
    <row r="6575" spans="9:19" x14ac:dyDescent="0.3">
      <c r="I6575" s="1"/>
      <c r="S6575" s="1"/>
    </row>
    <row r="6576" spans="9:19" x14ac:dyDescent="0.3">
      <c r="I6576" s="1"/>
      <c r="S6576" s="1"/>
    </row>
    <row r="6577" spans="9:19" x14ac:dyDescent="0.3">
      <c r="I6577" s="1"/>
      <c r="S6577" s="1"/>
    </row>
    <row r="6578" spans="9:19" x14ac:dyDescent="0.3">
      <c r="I6578" s="1"/>
      <c r="S6578" s="1"/>
    </row>
    <row r="6579" spans="9:19" x14ac:dyDescent="0.3">
      <c r="I6579" s="1"/>
      <c r="S6579" s="1"/>
    </row>
    <row r="6580" spans="9:19" x14ac:dyDescent="0.3">
      <c r="I6580" s="1"/>
      <c r="S6580" s="1"/>
    </row>
    <row r="6581" spans="9:19" x14ac:dyDescent="0.3">
      <c r="I6581" s="1"/>
      <c r="S6581" s="1"/>
    </row>
    <row r="6582" spans="9:19" x14ac:dyDescent="0.3">
      <c r="I6582" s="1"/>
      <c r="S6582" s="1"/>
    </row>
    <row r="6583" spans="9:19" x14ac:dyDescent="0.3">
      <c r="I6583" s="1"/>
      <c r="S6583" s="1"/>
    </row>
    <row r="6584" spans="9:19" x14ac:dyDescent="0.3">
      <c r="I6584" s="1"/>
      <c r="S6584" s="1"/>
    </row>
    <row r="6585" spans="9:19" x14ac:dyDescent="0.3">
      <c r="I6585" s="1"/>
      <c r="S6585" s="1"/>
    </row>
    <row r="6586" spans="9:19" x14ac:dyDescent="0.3">
      <c r="I6586" s="1"/>
      <c r="S6586" s="1"/>
    </row>
    <row r="6587" spans="9:19" x14ac:dyDescent="0.3">
      <c r="I6587" s="1"/>
      <c r="S6587" s="1"/>
    </row>
    <row r="6588" spans="9:19" x14ac:dyDescent="0.3">
      <c r="I6588" s="1"/>
      <c r="S6588" s="1"/>
    </row>
    <row r="6589" spans="9:19" x14ac:dyDescent="0.3">
      <c r="I6589" s="1"/>
      <c r="S6589" s="1"/>
    </row>
    <row r="6590" spans="9:19" x14ac:dyDescent="0.3">
      <c r="I6590" s="1"/>
      <c r="S6590" s="1"/>
    </row>
    <row r="6591" spans="9:19" x14ac:dyDescent="0.3">
      <c r="I6591" s="1"/>
      <c r="S6591" s="1"/>
    </row>
    <row r="6592" spans="9:19" x14ac:dyDescent="0.3">
      <c r="I6592" s="1"/>
      <c r="S6592" s="1"/>
    </row>
    <row r="6593" spans="9:19" x14ac:dyDescent="0.3">
      <c r="I6593" s="1"/>
      <c r="S6593" s="1"/>
    </row>
    <row r="6594" spans="9:19" x14ac:dyDescent="0.3">
      <c r="I6594" s="1"/>
      <c r="S6594" s="1"/>
    </row>
    <row r="6595" spans="9:19" x14ac:dyDescent="0.3">
      <c r="I6595" s="1"/>
      <c r="S6595" s="1"/>
    </row>
    <row r="6596" spans="9:19" x14ac:dyDescent="0.3">
      <c r="I6596" s="1"/>
      <c r="S6596" s="1"/>
    </row>
    <row r="6597" spans="9:19" x14ac:dyDescent="0.3">
      <c r="I6597" s="1"/>
      <c r="S6597" s="1"/>
    </row>
    <row r="6598" spans="9:19" x14ac:dyDescent="0.3">
      <c r="I6598" s="1"/>
      <c r="S6598" s="1"/>
    </row>
    <row r="6599" spans="9:19" x14ac:dyDescent="0.3">
      <c r="I6599" s="1"/>
      <c r="S6599" s="1"/>
    </row>
    <row r="6600" spans="9:19" x14ac:dyDescent="0.3">
      <c r="I6600" s="1"/>
      <c r="S6600" s="1"/>
    </row>
    <row r="6601" spans="9:19" x14ac:dyDescent="0.3">
      <c r="I6601" s="1"/>
      <c r="S6601" s="1"/>
    </row>
    <row r="6602" spans="9:19" x14ac:dyDescent="0.3">
      <c r="I6602" s="1"/>
      <c r="S6602" s="1"/>
    </row>
    <row r="6603" spans="9:19" x14ac:dyDescent="0.3">
      <c r="I6603" s="1"/>
      <c r="S6603" s="1"/>
    </row>
    <row r="6604" spans="9:19" x14ac:dyDescent="0.3">
      <c r="I6604" s="1"/>
      <c r="S6604" s="1"/>
    </row>
    <row r="6605" spans="9:19" x14ac:dyDescent="0.3">
      <c r="I6605" s="1"/>
      <c r="S6605" s="1"/>
    </row>
    <row r="6606" spans="9:19" x14ac:dyDescent="0.3">
      <c r="I6606" s="1"/>
      <c r="S6606" s="1"/>
    </row>
    <row r="6607" spans="9:19" x14ac:dyDescent="0.3">
      <c r="I6607" s="1"/>
      <c r="S6607" s="1"/>
    </row>
    <row r="6608" spans="9:19" x14ac:dyDescent="0.3">
      <c r="I6608" s="1"/>
      <c r="S6608" s="1"/>
    </row>
    <row r="6609" spans="9:19" x14ac:dyDescent="0.3">
      <c r="I6609" s="1"/>
      <c r="S6609" s="1"/>
    </row>
    <row r="6610" spans="9:19" x14ac:dyDescent="0.3">
      <c r="I6610" s="1"/>
      <c r="S6610" s="1"/>
    </row>
    <row r="6611" spans="9:19" x14ac:dyDescent="0.3">
      <c r="I6611" s="1"/>
      <c r="S6611" s="1"/>
    </row>
    <row r="6612" spans="9:19" x14ac:dyDescent="0.3">
      <c r="I6612" s="1"/>
      <c r="S6612" s="1"/>
    </row>
    <row r="6613" spans="9:19" x14ac:dyDescent="0.3">
      <c r="I6613" s="1"/>
      <c r="S6613" s="1"/>
    </row>
    <row r="6614" spans="9:19" x14ac:dyDescent="0.3">
      <c r="I6614" s="1"/>
      <c r="S6614" s="1"/>
    </row>
    <row r="6615" spans="9:19" x14ac:dyDescent="0.3">
      <c r="I6615" s="1"/>
      <c r="S6615" s="1"/>
    </row>
    <row r="6616" spans="9:19" x14ac:dyDescent="0.3">
      <c r="I6616" s="1"/>
      <c r="S6616" s="1"/>
    </row>
    <row r="6617" spans="9:19" x14ac:dyDescent="0.3">
      <c r="I6617" s="1"/>
      <c r="S6617" s="1"/>
    </row>
    <row r="6618" spans="9:19" x14ac:dyDescent="0.3">
      <c r="I6618" s="1"/>
      <c r="S6618" s="1"/>
    </row>
    <row r="6619" spans="9:19" x14ac:dyDescent="0.3">
      <c r="I6619" s="1"/>
      <c r="S6619" s="1"/>
    </row>
    <row r="6620" spans="9:19" x14ac:dyDescent="0.3">
      <c r="I6620" s="1"/>
      <c r="S6620" s="1"/>
    </row>
    <row r="6621" spans="9:19" x14ac:dyDescent="0.3">
      <c r="I6621" s="1"/>
      <c r="S6621" s="1"/>
    </row>
    <row r="6622" spans="9:19" x14ac:dyDescent="0.3">
      <c r="I6622" s="1"/>
      <c r="S6622" s="1"/>
    </row>
    <row r="6623" spans="9:19" x14ac:dyDescent="0.3">
      <c r="I6623" s="1"/>
      <c r="S6623" s="1"/>
    </row>
    <row r="6624" spans="9:19" x14ac:dyDescent="0.3">
      <c r="I6624" s="1"/>
      <c r="S6624" s="1"/>
    </row>
    <row r="6625" spans="9:19" x14ac:dyDescent="0.3">
      <c r="I6625" s="1"/>
      <c r="S6625" s="1"/>
    </row>
    <row r="6626" spans="9:19" x14ac:dyDescent="0.3">
      <c r="I6626" s="1"/>
      <c r="S6626" s="1"/>
    </row>
    <row r="6627" spans="9:19" x14ac:dyDescent="0.3">
      <c r="I6627" s="1"/>
      <c r="S6627" s="1"/>
    </row>
    <row r="6628" spans="9:19" x14ac:dyDescent="0.3">
      <c r="I6628" s="1"/>
      <c r="S6628" s="1"/>
    </row>
    <row r="6629" spans="9:19" x14ac:dyDescent="0.3">
      <c r="I6629" s="1"/>
      <c r="S6629" s="1"/>
    </row>
    <row r="6630" spans="9:19" x14ac:dyDescent="0.3">
      <c r="I6630" s="1"/>
      <c r="S6630" s="1"/>
    </row>
    <row r="6631" spans="9:19" x14ac:dyDescent="0.3">
      <c r="I6631" s="1"/>
      <c r="S6631" s="1"/>
    </row>
    <row r="6632" spans="9:19" x14ac:dyDescent="0.3">
      <c r="I6632" s="1"/>
      <c r="S6632" s="1"/>
    </row>
    <row r="6633" spans="9:19" x14ac:dyDescent="0.3">
      <c r="I6633" s="1"/>
      <c r="S6633" s="1"/>
    </row>
    <row r="6634" spans="9:19" x14ac:dyDescent="0.3">
      <c r="I6634" s="1"/>
      <c r="S6634" s="1"/>
    </row>
    <row r="6635" spans="9:19" x14ac:dyDescent="0.3">
      <c r="I6635" s="1"/>
      <c r="S6635" s="1"/>
    </row>
    <row r="6636" spans="9:19" x14ac:dyDescent="0.3">
      <c r="I6636" s="1"/>
      <c r="S6636" s="1"/>
    </row>
    <row r="6637" spans="9:19" x14ac:dyDescent="0.3">
      <c r="I6637" s="1"/>
      <c r="S6637" s="1"/>
    </row>
    <row r="6638" spans="9:19" x14ac:dyDescent="0.3">
      <c r="I6638" s="1"/>
      <c r="S6638" s="1"/>
    </row>
    <row r="6639" spans="9:19" x14ac:dyDescent="0.3">
      <c r="I6639" s="1"/>
      <c r="S6639" s="1"/>
    </row>
    <row r="6640" spans="9:19" x14ac:dyDescent="0.3">
      <c r="I6640" s="1"/>
      <c r="S6640" s="1"/>
    </row>
    <row r="6641" spans="9:19" x14ac:dyDescent="0.3">
      <c r="I6641" s="1"/>
      <c r="S6641" s="1"/>
    </row>
    <row r="6642" spans="9:19" x14ac:dyDescent="0.3">
      <c r="I6642" s="1"/>
      <c r="S6642" s="1"/>
    </row>
    <row r="6643" spans="9:19" x14ac:dyDescent="0.3">
      <c r="I6643" s="1"/>
      <c r="S6643" s="1"/>
    </row>
    <row r="6644" spans="9:19" x14ac:dyDescent="0.3">
      <c r="I6644" s="1"/>
      <c r="S6644" s="1"/>
    </row>
    <row r="6645" spans="9:19" x14ac:dyDescent="0.3">
      <c r="I6645" s="1"/>
      <c r="S6645" s="1"/>
    </row>
    <row r="6646" spans="9:19" x14ac:dyDescent="0.3">
      <c r="I6646" s="1"/>
      <c r="S6646" s="1"/>
    </row>
    <row r="6647" spans="9:19" x14ac:dyDescent="0.3">
      <c r="I6647" s="1"/>
      <c r="S6647" s="1"/>
    </row>
    <row r="6648" spans="9:19" x14ac:dyDescent="0.3">
      <c r="I6648" s="1"/>
      <c r="S6648" s="1"/>
    </row>
    <row r="6649" spans="9:19" x14ac:dyDescent="0.3">
      <c r="I6649" s="1"/>
      <c r="S6649" s="1"/>
    </row>
    <row r="6650" spans="9:19" x14ac:dyDescent="0.3">
      <c r="I6650" s="1"/>
      <c r="S6650" s="1"/>
    </row>
    <row r="6651" spans="9:19" x14ac:dyDescent="0.3">
      <c r="I6651" s="1"/>
      <c r="S6651" s="1"/>
    </row>
    <row r="6652" spans="9:19" x14ac:dyDescent="0.3">
      <c r="I6652" s="1"/>
      <c r="S6652" s="1"/>
    </row>
    <row r="6653" spans="9:19" x14ac:dyDescent="0.3">
      <c r="I6653" s="1"/>
      <c r="S6653" s="1"/>
    </row>
    <row r="6654" spans="9:19" x14ac:dyDescent="0.3">
      <c r="I6654" s="1"/>
      <c r="S6654" s="1"/>
    </row>
    <row r="6655" spans="9:19" x14ac:dyDescent="0.3">
      <c r="I6655" s="1"/>
      <c r="S6655" s="1"/>
    </row>
    <row r="6656" spans="9:19" x14ac:dyDescent="0.3">
      <c r="I6656" s="1"/>
      <c r="S6656" s="1"/>
    </row>
    <row r="6657" spans="9:19" x14ac:dyDescent="0.3">
      <c r="I6657" s="1"/>
      <c r="S6657" s="1"/>
    </row>
    <row r="6658" spans="9:19" x14ac:dyDescent="0.3">
      <c r="I6658" s="1"/>
      <c r="S6658" s="1"/>
    </row>
    <row r="6659" spans="9:19" x14ac:dyDescent="0.3">
      <c r="I6659" s="1"/>
      <c r="S6659" s="1"/>
    </row>
    <row r="6660" spans="9:19" x14ac:dyDescent="0.3">
      <c r="I6660" s="1"/>
      <c r="S6660" s="1"/>
    </row>
    <row r="6661" spans="9:19" x14ac:dyDescent="0.3">
      <c r="I6661" s="1"/>
      <c r="S6661" s="1"/>
    </row>
    <row r="6662" spans="9:19" x14ac:dyDescent="0.3">
      <c r="I6662" s="1"/>
      <c r="S6662" s="1"/>
    </row>
    <row r="6663" spans="9:19" x14ac:dyDescent="0.3">
      <c r="I6663" s="1"/>
      <c r="S6663" s="1"/>
    </row>
    <row r="6664" spans="9:19" x14ac:dyDescent="0.3">
      <c r="I6664" s="1"/>
      <c r="S6664" s="1"/>
    </row>
    <row r="6665" spans="9:19" x14ac:dyDescent="0.3">
      <c r="I6665" s="1"/>
      <c r="S6665" s="1"/>
    </row>
    <row r="6666" spans="9:19" x14ac:dyDescent="0.3">
      <c r="I6666" s="1"/>
      <c r="S6666" s="1"/>
    </row>
    <row r="6667" spans="9:19" x14ac:dyDescent="0.3">
      <c r="I6667" s="1"/>
      <c r="S6667" s="1"/>
    </row>
    <row r="6668" spans="9:19" x14ac:dyDescent="0.3">
      <c r="I6668" s="1"/>
      <c r="S6668" s="1"/>
    </row>
    <row r="6669" spans="9:19" x14ac:dyDescent="0.3">
      <c r="I6669" s="1"/>
      <c r="S6669" s="1"/>
    </row>
    <row r="6670" spans="9:19" x14ac:dyDescent="0.3">
      <c r="I6670" s="1"/>
      <c r="S6670" s="1"/>
    </row>
    <row r="6671" spans="9:19" x14ac:dyDescent="0.3">
      <c r="I6671" s="1"/>
      <c r="S6671" s="1"/>
    </row>
    <row r="6672" spans="9:19" x14ac:dyDescent="0.3">
      <c r="I6672" s="1"/>
      <c r="S6672" s="1"/>
    </row>
    <row r="6673" spans="9:19" x14ac:dyDescent="0.3">
      <c r="I6673" s="1"/>
      <c r="S6673" s="1"/>
    </row>
    <row r="6674" spans="9:19" x14ac:dyDescent="0.3">
      <c r="I6674" s="1"/>
      <c r="S6674" s="1"/>
    </row>
    <row r="6675" spans="9:19" x14ac:dyDescent="0.3">
      <c r="I6675" s="1"/>
      <c r="S6675" s="1"/>
    </row>
    <row r="6676" spans="9:19" x14ac:dyDescent="0.3">
      <c r="I6676" s="1"/>
      <c r="S6676" s="1"/>
    </row>
    <row r="6677" spans="9:19" x14ac:dyDescent="0.3">
      <c r="I6677" s="1"/>
      <c r="S6677" s="1"/>
    </row>
    <row r="6678" spans="9:19" x14ac:dyDescent="0.3">
      <c r="I6678" s="1"/>
      <c r="S6678" s="1"/>
    </row>
    <row r="6679" spans="9:19" x14ac:dyDescent="0.3">
      <c r="I6679" s="1"/>
      <c r="S6679" s="1"/>
    </row>
    <row r="6680" spans="9:19" x14ac:dyDescent="0.3">
      <c r="I6680" s="1"/>
      <c r="S6680" s="1"/>
    </row>
    <row r="6681" spans="9:19" x14ac:dyDescent="0.3">
      <c r="I6681" s="1"/>
      <c r="S6681" s="1"/>
    </row>
    <row r="6682" spans="9:19" x14ac:dyDescent="0.3">
      <c r="I6682" s="1"/>
      <c r="S6682" s="1"/>
    </row>
    <row r="6683" spans="9:19" x14ac:dyDescent="0.3">
      <c r="I6683" s="1"/>
      <c r="S6683" s="1"/>
    </row>
    <row r="6684" spans="9:19" x14ac:dyDescent="0.3">
      <c r="I6684" s="1"/>
      <c r="S6684" s="1"/>
    </row>
    <row r="6685" spans="9:19" x14ac:dyDescent="0.3">
      <c r="I6685" s="1"/>
      <c r="S6685" s="1"/>
    </row>
    <row r="6686" spans="9:19" x14ac:dyDescent="0.3">
      <c r="I6686" s="1"/>
      <c r="S6686" s="1"/>
    </row>
    <row r="6687" spans="9:19" x14ac:dyDescent="0.3">
      <c r="I6687" s="1"/>
      <c r="S6687" s="1"/>
    </row>
    <row r="6688" spans="9:19" x14ac:dyDescent="0.3">
      <c r="I6688" s="1"/>
      <c r="S6688" s="1"/>
    </row>
    <row r="6689" spans="9:19" x14ac:dyDescent="0.3">
      <c r="I6689" s="1"/>
      <c r="S6689" s="1"/>
    </row>
    <row r="6690" spans="9:19" x14ac:dyDescent="0.3">
      <c r="I6690" s="1"/>
      <c r="S6690" s="1"/>
    </row>
    <row r="6691" spans="9:19" x14ac:dyDescent="0.3">
      <c r="I6691" s="1"/>
      <c r="S6691" s="1"/>
    </row>
    <row r="6692" spans="9:19" x14ac:dyDescent="0.3">
      <c r="I6692" s="1"/>
      <c r="S6692" s="1"/>
    </row>
    <row r="6693" spans="9:19" x14ac:dyDescent="0.3">
      <c r="I6693" s="1"/>
      <c r="S6693" s="1"/>
    </row>
    <row r="6694" spans="9:19" x14ac:dyDescent="0.3">
      <c r="I6694" s="1"/>
      <c r="S6694" s="1"/>
    </row>
    <row r="6695" spans="9:19" x14ac:dyDescent="0.3">
      <c r="I6695" s="1"/>
      <c r="S6695" s="1"/>
    </row>
    <row r="6696" spans="9:19" x14ac:dyDescent="0.3">
      <c r="I6696" s="1"/>
      <c r="S6696" s="1"/>
    </row>
    <row r="6697" spans="9:19" x14ac:dyDescent="0.3">
      <c r="I6697" s="1"/>
      <c r="S6697" s="1"/>
    </row>
    <row r="6698" spans="9:19" x14ac:dyDescent="0.3">
      <c r="I6698" s="1"/>
      <c r="S6698" s="1"/>
    </row>
    <row r="6699" spans="9:19" x14ac:dyDescent="0.3">
      <c r="I6699" s="1"/>
      <c r="S6699" s="1"/>
    </row>
    <row r="6700" spans="9:19" x14ac:dyDescent="0.3">
      <c r="I6700" s="1"/>
      <c r="S6700" s="1"/>
    </row>
    <row r="6701" spans="9:19" x14ac:dyDescent="0.3">
      <c r="I6701" s="1"/>
      <c r="S6701" s="1"/>
    </row>
    <row r="6702" spans="9:19" x14ac:dyDescent="0.3">
      <c r="I6702" s="1"/>
      <c r="S6702" s="1"/>
    </row>
    <row r="6703" spans="9:19" x14ac:dyDescent="0.3">
      <c r="I6703" s="1"/>
      <c r="S6703" s="1"/>
    </row>
    <row r="6704" spans="9:19" x14ac:dyDescent="0.3">
      <c r="I6704" s="1"/>
      <c r="S6704" s="1"/>
    </row>
    <row r="6705" spans="9:19" x14ac:dyDescent="0.3">
      <c r="I6705" s="1"/>
      <c r="S6705" s="1"/>
    </row>
    <row r="6706" spans="9:19" x14ac:dyDescent="0.3">
      <c r="I6706" s="1"/>
      <c r="S6706" s="1"/>
    </row>
    <row r="6707" spans="9:19" x14ac:dyDescent="0.3">
      <c r="I6707" s="1"/>
      <c r="S6707" s="1"/>
    </row>
    <row r="6708" spans="9:19" x14ac:dyDescent="0.3">
      <c r="I6708" s="1"/>
      <c r="S6708" s="1"/>
    </row>
    <row r="6709" spans="9:19" x14ac:dyDescent="0.3">
      <c r="I6709" s="1"/>
      <c r="S6709" s="1"/>
    </row>
    <row r="6710" spans="9:19" x14ac:dyDescent="0.3">
      <c r="I6710" s="1"/>
      <c r="S6710" s="1"/>
    </row>
    <row r="6711" spans="9:19" x14ac:dyDescent="0.3">
      <c r="I6711" s="1"/>
      <c r="S6711" s="1"/>
    </row>
    <row r="6712" spans="9:19" x14ac:dyDescent="0.3">
      <c r="I6712" s="1"/>
      <c r="S6712" s="1"/>
    </row>
    <row r="6713" spans="9:19" x14ac:dyDescent="0.3">
      <c r="I6713" s="1"/>
      <c r="S6713" s="1"/>
    </row>
    <row r="6714" spans="9:19" x14ac:dyDescent="0.3">
      <c r="I6714" s="1"/>
      <c r="S6714" s="1"/>
    </row>
    <row r="6715" spans="9:19" x14ac:dyDescent="0.3">
      <c r="I6715" s="1"/>
      <c r="S6715" s="1"/>
    </row>
    <row r="6716" spans="9:19" x14ac:dyDescent="0.3">
      <c r="I6716" s="1"/>
      <c r="S6716" s="1"/>
    </row>
    <row r="6717" spans="9:19" x14ac:dyDescent="0.3">
      <c r="I6717" s="1"/>
      <c r="S6717" s="1"/>
    </row>
    <row r="6718" spans="9:19" x14ac:dyDescent="0.3">
      <c r="I6718" s="1"/>
      <c r="S6718" s="1"/>
    </row>
    <row r="6719" spans="9:19" x14ac:dyDescent="0.3">
      <c r="I6719" s="1"/>
      <c r="S6719" s="1"/>
    </row>
    <row r="6720" spans="9:19" x14ac:dyDescent="0.3">
      <c r="I6720" s="1"/>
      <c r="S6720" s="1"/>
    </row>
    <row r="6721" spans="9:19" x14ac:dyDescent="0.3">
      <c r="I6721" s="1"/>
      <c r="S6721" s="1"/>
    </row>
    <row r="6722" spans="9:19" x14ac:dyDescent="0.3">
      <c r="I6722" s="1"/>
      <c r="S6722" s="1"/>
    </row>
    <row r="6723" spans="9:19" x14ac:dyDescent="0.3">
      <c r="I6723" s="1"/>
      <c r="S6723" s="1"/>
    </row>
    <row r="6724" spans="9:19" x14ac:dyDescent="0.3">
      <c r="I6724" s="1"/>
      <c r="S6724" s="1"/>
    </row>
    <row r="6725" spans="9:19" x14ac:dyDescent="0.3">
      <c r="I6725" s="1"/>
      <c r="S6725" s="1"/>
    </row>
    <row r="6726" spans="9:19" x14ac:dyDescent="0.3">
      <c r="I6726" s="1"/>
      <c r="S6726" s="1"/>
    </row>
    <row r="6727" spans="9:19" x14ac:dyDescent="0.3">
      <c r="I6727" s="1"/>
      <c r="S6727" s="1"/>
    </row>
    <row r="6728" spans="9:19" x14ac:dyDescent="0.3">
      <c r="I6728" s="1"/>
      <c r="S6728" s="1"/>
    </row>
    <row r="6729" spans="9:19" x14ac:dyDescent="0.3">
      <c r="I6729" s="1"/>
      <c r="S6729" s="1"/>
    </row>
    <row r="6730" spans="9:19" x14ac:dyDescent="0.3">
      <c r="I6730" s="1"/>
      <c r="S6730" s="1"/>
    </row>
    <row r="6731" spans="9:19" x14ac:dyDescent="0.3">
      <c r="I6731" s="1"/>
      <c r="S6731" s="1"/>
    </row>
    <row r="6732" spans="9:19" x14ac:dyDescent="0.3">
      <c r="I6732" s="1"/>
      <c r="S6732" s="1"/>
    </row>
    <row r="6733" spans="9:19" x14ac:dyDescent="0.3">
      <c r="I6733" s="1"/>
      <c r="S6733" s="1"/>
    </row>
    <row r="6734" spans="9:19" x14ac:dyDescent="0.3">
      <c r="I6734" s="1"/>
      <c r="S6734" s="1"/>
    </row>
    <row r="6735" spans="9:19" x14ac:dyDescent="0.3">
      <c r="I6735" s="1"/>
      <c r="S6735" s="1"/>
    </row>
    <row r="6736" spans="9:19" x14ac:dyDescent="0.3">
      <c r="I6736" s="1"/>
      <c r="S6736" s="1"/>
    </row>
    <row r="6737" spans="9:19" x14ac:dyDescent="0.3">
      <c r="I6737" s="1"/>
      <c r="S6737" s="1"/>
    </row>
    <row r="6738" spans="9:19" x14ac:dyDescent="0.3">
      <c r="I6738" s="1"/>
      <c r="S6738" s="1"/>
    </row>
    <row r="6739" spans="9:19" x14ac:dyDescent="0.3">
      <c r="I6739" s="1"/>
      <c r="S6739" s="1"/>
    </row>
    <row r="6740" spans="9:19" x14ac:dyDescent="0.3">
      <c r="I6740" s="1"/>
      <c r="S6740" s="1"/>
    </row>
    <row r="6741" spans="9:19" x14ac:dyDescent="0.3">
      <c r="I6741" s="1"/>
      <c r="S6741" s="1"/>
    </row>
    <row r="6742" spans="9:19" x14ac:dyDescent="0.3">
      <c r="I6742" s="1"/>
      <c r="S6742" s="1"/>
    </row>
    <row r="6743" spans="9:19" x14ac:dyDescent="0.3">
      <c r="I6743" s="1"/>
      <c r="S6743" s="1"/>
    </row>
    <row r="6744" spans="9:19" x14ac:dyDescent="0.3">
      <c r="I6744" s="1"/>
      <c r="S6744" s="1"/>
    </row>
    <row r="6745" spans="9:19" x14ac:dyDescent="0.3">
      <c r="I6745" s="1"/>
      <c r="S6745" s="1"/>
    </row>
    <row r="6746" spans="9:19" x14ac:dyDescent="0.3">
      <c r="I6746" s="1"/>
      <c r="S6746" s="1"/>
    </row>
    <row r="6747" spans="9:19" x14ac:dyDescent="0.3">
      <c r="I6747" s="1"/>
      <c r="S6747" s="1"/>
    </row>
    <row r="6748" spans="9:19" x14ac:dyDescent="0.3">
      <c r="I6748" s="1"/>
      <c r="S6748" s="1"/>
    </row>
    <row r="6749" spans="9:19" x14ac:dyDescent="0.3">
      <c r="I6749" s="1"/>
      <c r="S6749" s="1"/>
    </row>
    <row r="6750" spans="9:19" x14ac:dyDescent="0.3">
      <c r="I6750" s="1"/>
      <c r="S6750" s="1"/>
    </row>
    <row r="6751" spans="9:19" x14ac:dyDescent="0.3">
      <c r="I6751" s="1"/>
      <c r="S6751" s="1"/>
    </row>
    <row r="6752" spans="9:19" x14ac:dyDescent="0.3">
      <c r="I6752" s="1"/>
      <c r="S6752" s="1"/>
    </row>
    <row r="6753" spans="9:19" x14ac:dyDescent="0.3">
      <c r="I6753" s="1"/>
      <c r="S6753" s="1"/>
    </row>
    <row r="6754" spans="9:19" x14ac:dyDescent="0.3">
      <c r="I6754" s="1"/>
      <c r="S6754" s="1"/>
    </row>
    <row r="6755" spans="9:19" x14ac:dyDescent="0.3">
      <c r="I6755" s="1"/>
      <c r="S6755" s="1"/>
    </row>
    <row r="6756" spans="9:19" x14ac:dyDescent="0.3">
      <c r="I6756" s="1"/>
      <c r="S6756" s="1"/>
    </row>
    <row r="6757" spans="9:19" x14ac:dyDescent="0.3">
      <c r="I6757" s="1"/>
      <c r="S6757" s="1"/>
    </row>
    <row r="6758" spans="9:19" x14ac:dyDescent="0.3">
      <c r="I6758" s="1"/>
      <c r="S6758" s="1"/>
    </row>
    <row r="6759" spans="9:19" x14ac:dyDescent="0.3">
      <c r="I6759" s="1"/>
      <c r="S6759" s="1"/>
    </row>
    <row r="6760" spans="9:19" x14ac:dyDescent="0.3">
      <c r="I6760" s="1"/>
      <c r="S6760" s="1"/>
    </row>
    <row r="6761" spans="9:19" x14ac:dyDescent="0.3">
      <c r="I6761" s="1"/>
      <c r="S6761" s="1"/>
    </row>
    <row r="6762" spans="9:19" x14ac:dyDescent="0.3">
      <c r="I6762" s="1"/>
      <c r="S6762" s="1"/>
    </row>
    <row r="6763" spans="9:19" x14ac:dyDescent="0.3">
      <c r="I6763" s="1"/>
      <c r="S6763" s="1"/>
    </row>
    <row r="6764" spans="9:19" x14ac:dyDescent="0.3">
      <c r="I6764" s="1"/>
      <c r="S6764" s="1"/>
    </row>
    <row r="6765" spans="9:19" x14ac:dyDescent="0.3">
      <c r="I6765" s="1"/>
      <c r="S6765" s="1"/>
    </row>
    <row r="6766" spans="9:19" x14ac:dyDescent="0.3">
      <c r="I6766" s="1"/>
      <c r="S6766" s="1"/>
    </row>
    <row r="6767" spans="9:19" x14ac:dyDescent="0.3">
      <c r="I6767" s="1"/>
      <c r="S6767" s="1"/>
    </row>
    <row r="6768" spans="9:19" x14ac:dyDescent="0.3">
      <c r="I6768" s="1"/>
      <c r="S6768" s="1"/>
    </row>
    <row r="6769" spans="9:19" x14ac:dyDescent="0.3">
      <c r="I6769" s="1"/>
      <c r="S6769" s="1"/>
    </row>
    <row r="6770" spans="9:19" x14ac:dyDescent="0.3">
      <c r="I6770" s="1"/>
      <c r="S6770" s="1"/>
    </row>
    <row r="6771" spans="9:19" x14ac:dyDescent="0.3">
      <c r="I6771" s="1"/>
      <c r="S6771" s="1"/>
    </row>
    <row r="6772" spans="9:19" x14ac:dyDescent="0.3">
      <c r="I6772" s="1"/>
      <c r="S6772" s="1"/>
    </row>
    <row r="6773" spans="9:19" x14ac:dyDescent="0.3">
      <c r="I6773" s="1"/>
      <c r="S6773" s="1"/>
    </row>
    <row r="6774" spans="9:19" x14ac:dyDescent="0.3">
      <c r="I6774" s="1"/>
      <c r="S6774" s="1"/>
    </row>
    <row r="6775" spans="9:19" x14ac:dyDescent="0.3">
      <c r="I6775" s="1"/>
      <c r="S6775" s="1"/>
    </row>
    <row r="6776" spans="9:19" x14ac:dyDescent="0.3">
      <c r="I6776" s="1"/>
      <c r="S6776" s="1"/>
    </row>
    <row r="6777" spans="9:19" x14ac:dyDescent="0.3">
      <c r="I6777" s="1"/>
      <c r="S6777" s="1"/>
    </row>
    <row r="6778" spans="9:19" x14ac:dyDescent="0.3">
      <c r="I6778" s="1"/>
      <c r="S6778" s="1"/>
    </row>
    <row r="6779" spans="9:19" x14ac:dyDescent="0.3">
      <c r="I6779" s="1"/>
      <c r="S6779" s="1"/>
    </row>
    <row r="6780" spans="9:19" x14ac:dyDescent="0.3">
      <c r="I6780" s="1"/>
      <c r="S6780" s="1"/>
    </row>
    <row r="6781" spans="9:19" x14ac:dyDescent="0.3">
      <c r="I6781" s="1"/>
      <c r="S6781" s="1"/>
    </row>
    <row r="6782" spans="9:19" x14ac:dyDescent="0.3">
      <c r="I6782" s="1"/>
      <c r="S6782" s="1"/>
    </row>
    <row r="6783" spans="9:19" x14ac:dyDescent="0.3">
      <c r="I6783" s="1"/>
      <c r="S6783" s="1"/>
    </row>
    <row r="6784" spans="9:19" x14ac:dyDescent="0.3">
      <c r="I6784" s="1"/>
      <c r="S6784" s="1"/>
    </row>
    <row r="6785" spans="9:19" x14ac:dyDescent="0.3">
      <c r="I6785" s="1"/>
      <c r="S6785" s="1"/>
    </row>
    <row r="6786" spans="9:19" x14ac:dyDescent="0.3">
      <c r="I6786" s="1"/>
      <c r="S6786" s="1"/>
    </row>
    <row r="6787" spans="9:19" x14ac:dyDescent="0.3">
      <c r="I6787" s="1"/>
      <c r="S6787" s="1"/>
    </row>
    <row r="6788" spans="9:19" x14ac:dyDescent="0.3">
      <c r="I6788" s="1"/>
      <c r="S6788" s="1"/>
    </row>
    <row r="6789" spans="9:19" x14ac:dyDescent="0.3">
      <c r="I6789" s="1"/>
      <c r="S6789" s="1"/>
    </row>
    <row r="6790" spans="9:19" x14ac:dyDescent="0.3">
      <c r="I6790" s="1"/>
      <c r="S6790" s="1"/>
    </row>
    <row r="6791" spans="9:19" x14ac:dyDescent="0.3">
      <c r="I6791" s="1"/>
      <c r="S6791" s="1"/>
    </row>
    <row r="6792" spans="9:19" x14ac:dyDescent="0.3">
      <c r="I6792" s="1"/>
      <c r="S6792" s="1"/>
    </row>
    <row r="6793" spans="9:19" x14ac:dyDescent="0.3">
      <c r="I6793" s="1"/>
      <c r="S6793" s="1"/>
    </row>
    <row r="6794" spans="9:19" x14ac:dyDescent="0.3">
      <c r="I6794" s="1"/>
      <c r="S6794" s="1"/>
    </row>
    <row r="6795" spans="9:19" x14ac:dyDescent="0.3">
      <c r="I6795" s="1"/>
      <c r="S6795" s="1"/>
    </row>
    <row r="6796" spans="9:19" x14ac:dyDescent="0.3">
      <c r="I6796" s="1"/>
      <c r="S6796" s="1"/>
    </row>
    <row r="6797" spans="9:19" x14ac:dyDescent="0.3">
      <c r="I6797" s="1"/>
      <c r="S6797" s="1"/>
    </row>
    <row r="6798" spans="9:19" x14ac:dyDescent="0.3">
      <c r="I6798" s="1"/>
      <c r="S6798" s="1"/>
    </row>
    <row r="6799" spans="9:19" x14ac:dyDescent="0.3">
      <c r="I6799" s="1"/>
      <c r="S6799" s="1"/>
    </row>
    <row r="6800" spans="9:19" x14ac:dyDescent="0.3">
      <c r="I6800" s="1"/>
      <c r="S6800" s="1"/>
    </row>
    <row r="6801" spans="9:19" x14ac:dyDescent="0.3">
      <c r="I6801" s="1"/>
      <c r="S6801" s="1"/>
    </row>
    <row r="6802" spans="9:19" x14ac:dyDescent="0.3">
      <c r="I6802" s="1"/>
      <c r="S6802" s="1"/>
    </row>
    <row r="6803" spans="9:19" x14ac:dyDescent="0.3">
      <c r="I6803" s="1"/>
      <c r="S6803" s="1"/>
    </row>
    <row r="6804" spans="9:19" x14ac:dyDescent="0.3">
      <c r="I6804" s="1"/>
      <c r="S6804" s="1"/>
    </row>
    <row r="6805" spans="9:19" x14ac:dyDescent="0.3">
      <c r="I6805" s="1"/>
      <c r="S6805" s="1"/>
    </row>
    <row r="6806" spans="9:19" x14ac:dyDescent="0.3">
      <c r="I6806" s="1"/>
      <c r="S6806" s="1"/>
    </row>
    <row r="6807" spans="9:19" x14ac:dyDescent="0.3">
      <c r="I6807" s="1"/>
      <c r="S6807" s="1"/>
    </row>
    <row r="6808" spans="9:19" x14ac:dyDescent="0.3">
      <c r="I6808" s="1"/>
      <c r="S6808" s="1"/>
    </row>
    <row r="6809" spans="9:19" x14ac:dyDescent="0.3">
      <c r="I6809" s="1"/>
      <c r="S6809" s="1"/>
    </row>
    <row r="6810" spans="9:19" x14ac:dyDescent="0.3">
      <c r="I6810" s="1"/>
      <c r="S6810" s="1"/>
    </row>
    <row r="6811" spans="9:19" x14ac:dyDescent="0.3">
      <c r="I6811" s="1"/>
      <c r="S6811" s="1"/>
    </row>
    <row r="6812" spans="9:19" x14ac:dyDescent="0.3">
      <c r="I6812" s="1"/>
      <c r="S6812" s="1"/>
    </row>
    <row r="6813" spans="9:19" x14ac:dyDescent="0.3">
      <c r="I6813" s="1"/>
      <c r="S6813" s="1"/>
    </row>
    <row r="6814" spans="9:19" x14ac:dyDescent="0.3">
      <c r="I6814" s="1"/>
      <c r="S6814" s="1"/>
    </row>
    <row r="6815" spans="9:19" x14ac:dyDescent="0.3">
      <c r="I6815" s="1"/>
      <c r="S6815" s="1"/>
    </row>
    <row r="6816" spans="9:19" x14ac:dyDescent="0.3">
      <c r="I6816" s="1"/>
      <c r="S6816" s="1"/>
    </row>
    <row r="6817" spans="9:19" x14ac:dyDescent="0.3">
      <c r="I6817" s="1"/>
      <c r="S6817" s="1"/>
    </row>
    <row r="6818" spans="9:19" x14ac:dyDescent="0.3">
      <c r="I6818" s="1"/>
      <c r="S6818" s="1"/>
    </row>
    <row r="6819" spans="9:19" x14ac:dyDescent="0.3">
      <c r="I6819" s="1"/>
      <c r="S6819" s="1"/>
    </row>
    <row r="6820" spans="9:19" x14ac:dyDescent="0.3">
      <c r="I6820" s="1"/>
      <c r="S6820" s="1"/>
    </row>
    <row r="6821" spans="9:19" x14ac:dyDescent="0.3">
      <c r="I6821" s="1"/>
      <c r="S6821" s="1"/>
    </row>
    <row r="6822" spans="9:19" x14ac:dyDescent="0.3">
      <c r="I6822" s="1"/>
      <c r="S6822" s="1"/>
    </row>
    <row r="6823" spans="9:19" x14ac:dyDescent="0.3">
      <c r="I6823" s="1"/>
      <c r="S6823" s="1"/>
    </row>
    <row r="6824" spans="9:19" x14ac:dyDescent="0.3">
      <c r="I6824" s="1"/>
      <c r="S6824" s="1"/>
    </row>
    <row r="6825" spans="9:19" x14ac:dyDescent="0.3">
      <c r="I6825" s="1"/>
      <c r="S6825" s="1"/>
    </row>
    <row r="6826" spans="9:19" x14ac:dyDescent="0.3">
      <c r="I6826" s="1"/>
      <c r="S6826" s="1"/>
    </row>
    <row r="6827" spans="9:19" x14ac:dyDescent="0.3">
      <c r="I6827" s="1"/>
      <c r="S6827" s="1"/>
    </row>
    <row r="6828" spans="9:19" x14ac:dyDescent="0.3">
      <c r="I6828" s="1"/>
      <c r="S6828" s="1"/>
    </row>
    <row r="6829" spans="9:19" x14ac:dyDescent="0.3">
      <c r="I6829" s="1"/>
      <c r="S6829" s="1"/>
    </row>
    <row r="6830" spans="9:19" x14ac:dyDescent="0.3">
      <c r="I6830" s="1"/>
      <c r="S6830" s="1"/>
    </row>
    <row r="6831" spans="9:19" x14ac:dyDescent="0.3">
      <c r="I6831" s="1"/>
      <c r="S6831" s="1"/>
    </row>
    <row r="6832" spans="9:19" x14ac:dyDescent="0.3">
      <c r="I6832" s="1"/>
      <c r="S6832" s="1"/>
    </row>
    <row r="6833" spans="9:19" x14ac:dyDescent="0.3">
      <c r="I6833" s="1"/>
      <c r="S6833" s="1"/>
    </row>
    <row r="6834" spans="9:19" x14ac:dyDescent="0.3">
      <c r="I6834" s="1"/>
      <c r="S6834" s="1"/>
    </row>
    <row r="6835" spans="9:19" x14ac:dyDescent="0.3">
      <c r="I6835" s="1"/>
      <c r="S6835" s="1"/>
    </row>
    <row r="6836" spans="9:19" x14ac:dyDescent="0.3">
      <c r="I6836" s="1"/>
      <c r="S6836" s="1"/>
    </row>
    <row r="6837" spans="9:19" x14ac:dyDescent="0.3">
      <c r="I6837" s="1"/>
      <c r="S6837" s="1"/>
    </row>
    <row r="6838" spans="9:19" x14ac:dyDescent="0.3">
      <c r="I6838" s="1"/>
      <c r="S6838" s="1"/>
    </row>
    <row r="6839" spans="9:19" x14ac:dyDescent="0.3">
      <c r="I6839" s="1"/>
      <c r="S6839" s="1"/>
    </row>
    <row r="6840" spans="9:19" x14ac:dyDescent="0.3">
      <c r="I6840" s="1"/>
      <c r="S6840" s="1"/>
    </row>
    <row r="6841" spans="9:19" x14ac:dyDescent="0.3">
      <c r="I6841" s="1"/>
      <c r="S6841" s="1"/>
    </row>
    <row r="6842" spans="9:19" x14ac:dyDescent="0.3">
      <c r="I6842" s="1"/>
      <c r="S6842" s="1"/>
    </row>
    <row r="6843" spans="9:19" x14ac:dyDescent="0.3">
      <c r="I6843" s="1"/>
      <c r="S6843" s="1"/>
    </row>
    <row r="6844" spans="9:19" x14ac:dyDescent="0.3">
      <c r="I6844" s="1"/>
      <c r="S6844" s="1"/>
    </row>
    <row r="6845" spans="9:19" x14ac:dyDescent="0.3">
      <c r="I6845" s="1"/>
      <c r="S6845" s="1"/>
    </row>
    <row r="6846" spans="9:19" x14ac:dyDescent="0.3">
      <c r="I6846" s="1"/>
      <c r="S6846" s="1"/>
    </row>
    <row r="6847" spans="9:19" x14ac:dyDescent="0.3">
      <c r="I6847" s="1"/>
      <c r="S6847" s="1"/>
    </row>
    <row r="6848" spans="9:19" x14ac:dyDescent="0.3">
      <c r="I6848" s="1"/>
      <c r="S6848" s="1"/>
    </row>
    <row r="6849" spans="9:19" x14ac:dyDescent="0.3">
      <c r="I6849" s="1"/>
      <c r="S6849" s="1"/>
    </row>
    <row r="6850" spans="9:19" x14ac:dyDescent="0.3">
      <c r="I6850" s="1"/>
      <c r="S6850" s="1"/>
    </row>
    <row r="6851" spans="9:19" x14ac:dyDescent="0.3">
      <c r="I6851" s="1"/>
      <c r="S6851" s="1"/>
    </row>
    <row r="6852" spans="9:19" x14ac:dyDescent="0.3">
      <c r="I6852" s="1"/>
      <c r="S6852" s="1"/>
    </row>
    <row r="6853" spans="9:19" x14ac:dyDescent="0.3">
      <c r="I6853" s="1"/>
      <c r="S6853" s="1"/>
    </row>
    <row r="6854" spans="9:19" x14ac:dyDescent="0.3">
      <c r="I6854" s="1"/>
      <c r="S6854" s="1"/>
    </row>
    <row r="6855" spans="9:19" x14ac:dyDescent="0.3">
      <c r="I6855" s="1"/>
      <c r="S6855" s="1"/>
    </row>
    <row r="6856" spans="9:19" x14ac:dyDescent="0.3">
      <c r="I6856" s="1"/>
      <c r="S6856" s="1"/>
    </row>
    <row r="6857" spans="9:19" x14ac:dyDescent="0.3">
      <c r="I6857" s="1"/>
      <c r="S6857" s="1"/>
    </row>
    <row r="6858" spans="9:19" x14ac:dyDescent="0.3">
      <c r="I6858" s="1"/>
      <c r="S6858" s="1"/>
    </row>
    <row r="6859" spans="9:19" x14ac:dyDescent="0.3">
      <c r="I6859" s="1"/>
      <c r="S6859" s="1"/>
    </row>
    <row r="6860" spans="9:19" x14ac:dyDescent="0.3">
      <c r="I6860" s="1"/>
      <c r="S6860" s="1"/>
    </row>
    <row r="6861" spans="9:19" x14ac:dyDescent="0.3">
      <c r="I6861" s="1"/>
      <c r="S6861" s="1"/>
    </row>
    <row r="6862" spans="9:19" x14ac:dyDescent="0.3">
      <c r="I6862" s="1"/>
      <c r="S6862" s="1"/>
    </row>
    <row r="6863" spans="9:19" x14ac:dyDescent="0.3">
      <c r="I6863" s="1"/>
      <c r="S6863" s="1"/>
    </row>
    <row r="6864" spans="9:19" x14ac:dyDescent="0.3">
      <c r="I6864" s="1"/>
      <c r="S6864" s="1"/>
    </row>
    <row r="6865" spans="9:19" x14ac:dyDescent="0.3">
      <c r="I6865" s="1"/>
      <c r="S6865" s="1"/>
    </row>
    <row r="6866" spans="9:19" x14ac:dyDescent="0.3">
      <c r="I6866" s="1"/>
      <c r="S6866" s="1"/>
    </row>
    <row r="6867" spans="9:19" x14ac:dyDescent="0.3">
      <c r="I6867" s="1"/>
      <c r="S6867" s="1"/>
    </row>
    <row r="6868" spans="9:19" x14ac:dyDescent="0.3">
      <c r="I6868" s="1"/>
      <c r="S6868" s="1"/>
    </row>
    <row r="6869" spans="9:19" x14ac:dyDescent="0.3">
      <c r="I6869" s="1"/>
      <c r="S6869" s="1"/>
    </row>
    <row r="6870" spans="9:19" x14ac:dyDescent="0.3">
      <c r="I6870" s="1"/>
      <c r="S6870" s="1"/>
    </row>
    <row r="6871" spans="9:19" x14ac:dyDescent="0.3">
      <c r="I6871" s="1"/>
      <c r="S6871" s="1"/>
    </row>
    <row r="6872" spans="9:19" x14ac:dyDescent="0.3">
      <c r="I6872" s="1"/>
      <c r="S6872" s="1"/>
    </row>
    <row r="6873" spans="9:19" x14ac:dyDescent="0.3">
      <c r="I6873" s="1"/>
      <c r="S6873" s="1"/>
    </row>
    <row r="6874" spans="9:19" x14ac:dyDescent="0.3">
      <c r="I6874" s="1"/>
      <c r="S6874" s="1"/>
    </row>
    <row r="6875" spans="9:19" x14ac:dyDescent="0.3">
      <c r="I6875" s="1"/>
      <c r="S6875" s="1"/>
    </row>
    <row r="6876" spans="9:19" x14ac:dyDescent="0.3">
      <c r="I6876" s="1"/>
      <c r="S6876" s="1"/>
    </row>
    <row r="6877" spans="9:19" x14ac:dyDescent="0.3">
      <c r="I6877" s="1"/>
      <c r="S6877" s="1"/>
    </row>
    <row r="6878" spans="9:19" x14ac:dyDescent="0.3">
      <c r="I6878" s="1"/>
      <c r="S6878" s="1"/>
    </row>
    <row r="6879" spans="9:19" x14ac:dyDescent="0.3">
      <c r="I6879" s="1"/>
      <c r="S6879" s="1"/>
    </row>
    <row r="6880" spans="9:19" x14ac:dyDescent="0.3">
      <c r="I6880" s="1"/>
      <c r="S6880" s="1"/>
    </row>
    <row r="6881" spans="9:19" x14ac:dyDescent="0.3">
      <c r="I6881" s="1"/>
      <c r="S6881" s="1"/>
    </row>
    <row r="6882" spans="9:19" x14ac:dyDescent="0.3">
      <c r="I6882" s="1"/>
      <c r="S6882" s="1"/>
    </row>
    <row r="6883" spans="9:19" x14ac:dyDescent="0.3">
      <c r="I6883" s="1"/>
      <c r="S6883" s="1"/>
    </row>
    <row r="6884" spans="9:19" x14ac:dyDescent="0.3">
      <c r="I6884" s="1"/>
      <c r="S6884" s="1"/>
    </row>
    <row r="6885" spans="9:19" x14ac:dyDescent="0.3">
      <c r="I6885" s="1"/>
      <c r="S6885" s="1"/>
    </row>
    <row r="6886" spans="9:19" x14ac:dyDescent="0.3">
      <c r="I6886" s="1"/>
      <c r="S6886" s="1"/>
    </row>
    <row r="6887" spans="9:19" x14ac:dyDescent="0.3">
      <c r="I6887" s="1"/>
      <c r="S6887" s="1"/>
    </row>
    <row r="6888" spans="9:19" x14ac:dyDescent="0.3">
      <c r="I6888" s="1"/>
      <c r="S6888" s="1"/>
    </row>
    <row r="6889" spans="9:19" x14ac:dyDescent="0.3">
      <c r="I6889" s="1"/>
      <c r="S6889" s="1"/>
    </row>
    <row r="6890" spans="9:19" x14ac:dyDescent="0.3">
      <c r="I6890" s="1"/>
      <c r="S6890" s="1"/>
    </row>
    <row r="6891" spans="9:19" x14ac:dyDescent="0.3">
      <c r="I6891" s="1"/>
      <c r="S6891" s="1"/>
    </row>
    <row r="6892" spans="9:19" x14ac:dyDescent="0.3">
      <c r="I6892" s="1"/>
      <c r="S6892" s="1"/>
    </row>
    <row r="6893" spans="9:19" x14ac:dyDescent="0.3">
      <c r="I6893" s="1"/>
      <c r="S6893" s="1"/>
    </row>
    <row r="6894" spans="9:19" x14ac:dyDescent="0.3">
      <c r="I6894" s="1"/>
      <c r="S6894" s="1"/>
    </row>
    <row r="6895" spans="9:19" x14ac:dyDescent="0.3">
      <c r="I6895" s="1"/>
      <c r="S6895" s="1"/>
    </row>
    <row r="6896" spans="9:19" x14ac:dyDescent="0.3">
      <c r="I6896" s="1"/>
      <c r="S6896" s="1"/>
    </row>
    <row r="6897" spans="9:19" x14ac:dyDescent="0.3">
      <c r="I6897" s="1"/>
      <c r="S6897" s="1"/>
    </row>
    <row r="6898" spans="9:19" x14ac:dyDescent="0.3">
      <c r="I6898" s="1"/>
      <c r="S6898" s="1"/>
    </row>
    <row r="6899" spans="9:19" x14ac:dyDescent="0.3">
      <c r="I6899" s="1"/>
      <c r="S6899" s="1"/>
    </row>
    <row r="6900" spans="9:19" x14ac:dyDescent="0.3">
      <c r="I6900" s="1"/>
      <c r="S6900" s="1"/>
    </row>
    <row r="6901" spans="9:19" x14ac:dyDescent="0.3">
      <c r="I6901" s="1"/>
      <c r="S6901" s="1"/>
    </row>
    <row r="6902" spans="9:19" x14ac:dyDescent="0.3">
      <c r="I6902" s="1"/>
      <c r="S6902" s="1"/>
    </row>
    <row r="6903" spans="9:19" x14ac:dyDescent="0.3">
      <c r="I6903" s="1"/>
      <c r="S6903" s="1"/>
    </row>
    <row r="6904" spans="9:19" x14ac:dyDescent="0.3">
      <c r="I6904" s="1"/>
      <c r="S6904" s="1"/>
    </row>
    <row r="6905" spans="9:19" x14ac:dyDescent="0.3">
      <c r="I6905" s="1"/>
      <c r="S6905" s="1"/>
    </row>
    <row r="6906" spans="9:19" x14ac:dyDescent="0.3">
      <c r="I6906" s="1"/>
      <c r="S6906" s="1"/>
    </row>
    <row r="6907" spans="9:19" x14ac:dyDescent="0.3">
      <c r="I6907" s="1"/>
      <c r="S6907" s="1"/>
    </row>
    <row r="6908" spans="9:19" x14ac:dyDescent="0.3">
      <c r="I6908" s="1"/>
      <c r="S6908" s="1"/>
    </row>
    <row r="6909" spans="9:19" x14ac:dyDescent="0.3">
      <c r="I6909" s="1"/>
      <c r="S6909" s="1"/>
    </row>
    <row r="6910" spans="9:19" x14ac:dyDescent="0.3">
      <c r="I6910" s="1"/>
      <c r="S6910" s="1"/>
    </row>
    <row r="6911" spans="9:19" x14ac:dyDescent="0.3">
      <c r="I6911" s="1"/>
      <c r="S6911" s="1"/>
    </row>
    <row r="6912" spans="9:19" x14ac:dyDescent="0.3">
      <c r="I6912" s="1"/>
      <c r="S6912" s="1"/>
    </row>
    <row r="6913" spans="9:19" x14ac:dyDescent="0.3">
      <c r="I6913" s="1"/>
      <c r="S6913" s="1"/>
    </row>
    <row r="6914" spans="9:19" x14ac:dyDescent="0.3">
      <c r="I6914" s="1"/>
      <c r="S6914" s="1"/>
    </row>
    <row r="6915" spans="9:19" x14ac:dyDescent="0.3">
      <c r="I6915" s="1"/>
      <c r="S6915" s="1"/>
    </row>
    <row r="6916" spans="9:19" x14ac:dyDescent="0.3">
      <c r="I6916" s="1"/>
      <c r="S6916" s="1"/>
    </row>
    <row r="6917" spans="9:19" x14ac:dyDescent="0.3">
      <c r="I6917" s="1"/>
      <c r="S6917" s="1"/>
    </row>
    <row r="6918" spans="9:19" x14ac:dyDescent="0.3">
      <c r="I6918" s="1"/>
      <c r="S6918" s="1"/>
    </row>
    <row r="6919" spans="9:19" x14ac:dyDescent="0.3">
      <c r="I6919" s="1"/>
      <c r="S6919" s="1"/>
    </row>
    <row r="6920" spans="9:19" x14ac:dyDescent="0.3">
      <c r="I6920" s="1"/>
      <c r="S6920" s="1"/>
    </row>
    <row r="6921" spans="9:19" x14ac:dyDescent="0.3">
      <c r="I6921" s="1"/>
      <c r="S6921" s="1"/>
    </row>
    <row r="6922" spans="9:19" x14ac:dyDescent="0.3">
      <c r="I6922" s="1"/>
      <c r="S6922" s="1"/>
    </row>
    <row r="6923" spans="9:19" x14ac:dyDescent="0.3">
      <c r="I6923" s="1"/>
      <c r="S6923" s="1"/>
    </row>
    <row r="6924" spans="9:19" x14ac:dyDescent="0.3">
      <c r="I6924" s="1"/>
      <c r="S6924" s="1"/>
    </row>
    <row r="6925" spans="9:19" x14ac:dyDescent="0.3">
      <c r="I6925" s="1"/>
      <c r="S6925" s="1"/>
    </row>
    <row r="6926" spans="9:19" x14ac:dyDescent="0.3">
      <c r="I6926" s="1"/>
      <c r="S6926" s="1"/>
    </row>
    <row r="6927" spans="9:19" x14ac:dyDescent="0.3">
      <c r="I6927" s="1"/>
      <c r="S6927" s="1"/>
    </row>
    <row r="6928" spans="9:19" x14ac:dyDescent="0.3">
      <c r="I6928" s="1"/>
      <c r="S6928" s="1"/>
    </row>
    <row r="6929" spans="9:19" x14ac:dyDescent="0.3">
      <c r="I6929" s="1"/>
      <c r="S6929" s="1"/>
    </row>
    <row r="6930" spans="9:19" x14ac:dyDescent="0.3">
      <c r="I6930" s="1"/>
      <c r="S6930" s="1"/>
    </row>
    <row r="6931" spans="9:19" x14ac:dyDescent="0.3">
      <c r="I6931" s="1"/>
      <c r="S6931" s="1"/>
    </row>
    <row r="6932" spans="9:19" x14ac:dyDescent="0.3">
      <c r="I6932" s="1"/>
      <c r="S6932" s="1"/>
    </row>
    <row r="6933" spans="9:19" x14ac:dyDescent="0.3">
      <c r="I6933" s="1"/>
      <c r="S6933" s="1"/>
    </row>
    <row r="6934" spans="9:19" x14ac:dyDescent="0.3">
      <c r="I6934" s="1"/>
      <c r="S6934" s="1"/>
    </row>
    <row r="6935" spans="9:19" x14ac:dyDescent="0.3">
      <c r="I6935" s="1"/>
      <c r="S6935" s="1"/>
    </row>
    <row r="6936" spans="9:19" x14ac:dyDescent="0.3">
      <c r="I6936" s="1"/>
      <c r="S6936" s="1"/>
    </row>
    <row r="6937" spans="9:19" x14ac:dyDescent="0.3">
      <c r="I6937" s="1"/>
      <c r="S6937" s="1"/>
    </row>
    <row r="6938" spans="9:19" x14ac:dyDescent="0.3">
      <c r="I6938" s="1"/>
      <c r="S6938" s="1"/>
    </row>
    <row r="6939" spans="9:19" x14ac:dyDescent="0.3">
      <c r="I6939" s="1"/>
      <c r="S6939" s="1"/>
    </row>
    <row r="6940" spans="9:19" x14ac:dyDescent="0.3">
      <c r="I6940" s="1"/>
      <c r="S6940" s="1"/>
    </row>
    <row r="6941" spans="9:19" x14ac:dyDescent="0.3">
      <c r="I6941" s="1"/>
      <c r="S6941" s="1"/>
    </row>
    <row r="6942" spans="9:19" x14ac:dyDescent="0.3">
      <c r="I6942" s="1"/>
      <c r="S6942" s="1"/>
    </row>
    <row r="6943" spans="9:19" x14ac:dyDescent="0.3">
      <c r="I6943" s="1"/>
      <c r="S6943" s="1"/>
    </row>
    <row r="6944" spans="9:19" x14ac:dyDescent="0.3">
      <c r="I6944" s="1"/>
      <c r="S6944" s="1"/>
    </row>
    <row r="6945" spans="9:19" x14ac:dyDescent="0.3">
      <c r="I6945" s="1"/>
      <c r="S6945" s="1"/>
    </row>
    <row r="6946" spans="9:19" x14ac:dyDescent="0.3">
      <c r="I6946" s="1"/>
      <c r="S6946" s="1"/>
    </row>
    <row r="6947" spans="9:19" x14ac:dyDescent="0.3">
      <c r="I6947" s="1"/>
      <c r="S6947" s="1"/>
    </row>
    <row r="6948" spans="9:19" x14ac:dyDescent="0.3">
      <c r="I6948" s="1"/>
      <c r="S6948" s="1"/>
    </row>
    <row r="6949" spans="9:19" x14ac:dyDescent="0.3">
      <c r="I6949" s="1"/>
      <c r="S6949" s="1"/>
    </row>
    <row r="6950" spans="9:19" x14ac:dyDescent="0.3">
      <c r="I6950" s="1"/>
      <c r="S6950" s="1"/>
    </row>
    <row r="6951" spans="9:19" x14ac:dyDescent="0.3">
      <c r="I6951" s="1"/>
      <c r="S6951" s="1"/>
    </row>
    <row r="6952" spans="9:19" x14ac:dyDescent="0.3">
      <c r="I6952" s="1"/>
      <c r="S6952" s="1"/>
    </row>
    <row r="6953" spans="9:19" x14ac:dyDescent="0.3">
      <c r="I6953" s="1"/>
      <c r="S6953" s="1"/>
    </row>
    <row r="6954" spans="9:19" x14ac:dyDescent="0.3">
      <c r="I6954" s="1"/>
      <c r="S6954" s="1"/>
    </row>
    <row r="6955" spans="9:19" x14ac:dyDescent="0.3">
      <c r="I6955" s="1"/>
      <c r="S6955" s="1"/>
    </row>
    <row r="6956" spans="9:19" x14ac:dyDescent="0.3">
      <c r="I6956" s="1"/>
      <c r="S6956" s="1"/>
    </row>
    <row r="6957" spans="9:19" x14ac:dyDescent="0.3">
      <c r="I6957" s="1"/>
      <c r="S6957" s="1"/>
    </row>
    <row r="6958" spans="9:19" x14ac:dyDescent="0.3">
      <c r="I6958" s="1"/>
      <c r="S6958" s="1"/>
    </row>
    <row r="6959" spans="9:19" x14ac:dyDescent="0.3">
      <c r="I6959" s="1"/>
      <c r="S6959" s="1"/>
    </row>
    <row r="6960" spans="9:19" x14ac:dyDescent="0.3">
      <c r="I6960" s="1"/>
      <c r="S6960" s="1"/>
    </row>
    <row r="6961" spans="9:19" x14ac:dyDescent="0.3">
      <c r="I6961" s="1"/>
      <c r="S6961" s="1"/>
    </row>
    <row r="6962" spans="9:19" x14ac:dyDescent="0.3">
      <c r="I6962" s="1"/>
      <c r="S6962" s="1"/>
    </row>
    <row r="6963" spans="9:19" x14ac:dyDescent="0.3">
      <c r="I6963" s="1"/>
      <c r="S6963" s="1"/>
    </row>
    <row r="6964" spans="9:19" x14ac:dyDescent="0.3">
      <c r="I6964" s="1"/>
      <c r="S6964" s="1"/>
    </row>
    <row r="6965" spans="9:19" x14ac:dyDescent="0.3">
      <c r="I6965" s="1"/>
      <c r="S6965" s="1"/>
    </row>
    <row r="6966" spans="9:19" x14ac:dyDescent="0.3">
      <c r="I6966" s="1"/>
      <c r="S6966" s="1"/>
    </row>
    <row r="6967" spans="9:19" x14ac:dyDescent="0.3">
      <c r="I6967" s="1"/>
      <c r="S6967" s="1"/>
    </row>
    <row r="6968" spans="9:19" x14ac:dyDescent="0.3">
      <c r="I6968" s="1"/>
      <c r="S6968" s="1"/>
    </row>
    <row r="6969" spans="9:19" x14ac:dyDescent="0.3">
      <c r="I6969" s="1"/>
      <c r="S6969" s="1"/>
    </row>
    <row r="6970" spans="9:19" x14ac:dyDescent="0.3">
      <c r="I6970" s="1"/>
      <c r="S6970" s="1"/>
    </row>
    <row r="6971" spans="9:19" x14ac:dyDescent="0.3">
      <c r="I6971" s="1"/>
      <c r="S6971" s="1"/>
    </row>
    <row r="6972" spans="9:19" x14ac:dyDescent="0.3">
      <c r="I6972" s="1"/>
      <c r="S6972" s="1"/>
    </row>
    <row r="6973" spans="9:19" x14ac:dyDescent="0.3">
      <c r="I6973" s="1"/>
      <c r="S6973" s="1"/>
    </row>
    <row r="6974" spans="9:19" x14ac:dyDescent="0.3">
      <c r="I6974" s="1"/>
      <c r="S6974" s="1"/>
    </row>
    <row r="6975" spans="9:19" x14ac:dyDescent="0.3">
      <c r="I6975" s="1"/>
      <c r="S6975" s="1"/>
    </row>
    <row r="6976" spans="9:19" x14ac:dyDescent="0.3">
      <c r="I6976" s="1"/>
      <c r="S6976" s="1"/>
    </row>
    <row r="6977" spans="9:19" x14ac:dyDescent="0.3">
      <c r="I6977" s="1"/>
      <c r="S6977" s="1"/>
    </row>
    <row r="6978" spans="9:19" x14ac:dyDescent="0.3">
      <c r="I6978" s="1"/>
      <c r="S6978" s="1"/>
    </row>
    <row r="6979" spans="9:19" x14ac:dyDescent="0.3">
      <c r="I6979" s="1"/>
      <c r="S6979" s="1"/>
    </row>
    <row r="6980" spans="9:19" x14ac:dyDescent="0.3">
      <c r="I6980" s="1"/>
      <c r="S6980" s="1"/>
    </row>
    <row r="6981" spans="9:19" x14ac:dyDescent="0.3">
      <c r="I6981" s="1"/>
      <c r="S6981" s="1"/>
    </row>
    <row r="6982" spans="9:19" x14ac:dyDescent="0.3">
      <c r="I6982" s="1"/>
      <c r="S6982" s="1"/>
    </row>
    <row r="6983" spans="9:19" x14ac:dyDescent="0.3">
      <c r="I6983" s="1"/>
      <c r="S6983" s="1"/>
    </row>
    <row r="6984" spans="9:19" x14ac:dyDescent="0.3">
      <c r="I6984" s="1"/>
      <c r="S6984" s="1"/>
    </row>
    <row r="6985" spans="9:19" x14ac:dyDescent="0.3">
      <c r="I6985" s="1"/>
      <c r="S6985" s="1"/>
    </row>
    <row r="6986" spans="9:19" x14ac:dyDescent="0.3">
      <c r="I6986" s="1"/>
      <c r="S6986" s="1"/>
    </row>
    <row r="6987" spans="9:19" x14ac:dyDescent="0.3">
      <c r="I6987" s="1"/>
      <c r="S6987" s="1"/>
    </row>
    <row r="6988" spans="9:19" x14ac:dyDescent="0.3">
      <c r="I6988" s="1"/>
      <c r="S6988" s="1"/>
    </row>
    <row r="6989" spans="9:19" x14ac:dyDescent="0.3">
      <c r="I6989" s="1"/>
      <c r="S6989" s="1"/>
    </row>
    <row r="6990" spans="9:19" x14ac:dyDescent="0.3">
      <c r="I6990" s="1"/>
      <c r="S6990" s="1"/>
    </row>
    <row r="6991" spans="9:19" x14ac:dyDescent="0.3">
      <c r="I6991" s="1"/>
      <c r="S6991" s="1"/>
    </row>
    <row r="6992" spans="9:19" x14ac:dyDescent="0.3">
      <c r="I6992" s="1"/>
      <c r="S6992" s="1"/>
    </row>
    <row r="6993" spans="9:19" x14ac:dyDescent="0.3">
      <c r="I6993" s="1"/>
      <c r="S6993" s="1"/>
    </row>
    <row r="6994" spans="9:19" x14ac:dyDescent="0.3">
      <c r="I6994" s="1"/>
      <c r="S6994" s="1"/>
    </row>
    <row r="6995" spans="9:19" x14ac:dyDescent="0.3">
      <c r="I6995" s="1"/>
      <c r="S6995" s="1"/>
    </row>
    <row r="6996" spans="9:19" x14ac:dyDescent="0.3">
      <c r="I6996" s="1"/>
      <c r="S6996" s="1"/>
    </row>
    <row r="6997" spans="9:19" x14ac:dyDescent="0.3">
      <c r="I6997" s="1"/>
      <c r="S6997" s="1"/>
    </row>
    <row r="6998" spans="9:19" x14ac:dyDescent="0.3">
      <c r="I6998" s="1"/>
      <c r="S6998" s="1"/>
    </row>
    <row r="6999" spans="9:19" x14ac:dyDescent="0.3">
      <c r="I6999" s="1"/>
      <c r="S6999" s="1"/>
    </row>
    <row r="7000" spans="9:19" x14ac:dyDescent="0.3">
      <c r="I7000" s="1"/>
      <c r="S7000" s="1"/>
    </row>
    <row r="7001" spans="9:19" x14ac:dyDescent="0.3">
      <c r="I7001" s="1"/>
      <c r="S7001" s="1"/>
    </row>
    <row r="7002" spans="9:19" x14ac:dyDescent="0.3">
      <c r="I7002" s="1"/>
      <c r="S7002" s="1"/>
    </row>
    <row r="7003" spans="9:19" x14ac:dyDescent="0.3">
      <c r="I7003" s="1"/>
      <c r="S7003" s="1"/>
    </row>
    <row r="7004" spans="9:19" x14ac:dyDescent="0.3">
      <c r="I7004" s="1"/>
      <c r="S7004" s="1"/>
    </row>
    <row r="7005" spans="9:19" x14ac:dyDescent="0.3">
      <c r="I7005" s="1"/>
      <c r="S7005" s="1"/>
    </row>
    <row r="7006" spans="9:19" x14ac:dyDescent="0.3">
      <c r="I7006" s="1"/>
      <c r="S7006" s="1"/>
    </row>
    <row r="7007" spans="9:19" x14ac:dyDescent="0.3">
      <c r="I7007" s="1"/>
      <c r="S7007" s="1"/>
    </row>
    <row r="7008" spans="9:19" x14ac:dyDescent="0.3">
      <c r="I7008" s="1"/>
      <c r="S7008" s="1"/>
    </row>
    <row r="7009" spans="9:19" x14ac:dyDescent="0.3">
      <c r="I7009" s="1"/>
      <c r="S7009" s="1"/>
    </row>
    <row r="7010" spans="9:19" x14ac:dyDescent="0.3">
      <c r="I7010" s="1"/>
      <c r="S7010" s="1"/>
    </row>
    <row r="7011" spans="9:19" x14ac:dyDescent="0.3">
      <c r="I7011" s="1"/>
      <c r="S7011" s="1"/>
    </row>
    <row r="7012" spans="9:19" x14ac:dyDescent="0.3">
      <c r="I7012" s="1"/>
      <c r="S7012" s="1"/>
    </row>
    <row r="7013" spans="9:19" x14ac:dyDescent="0.3">
      <c r="I7013" s="1"/>
      <c r="S7013" s="1"/>
    </row>
    <row r="7014" spans="9:19" x14ac:dyDescent="0.3">
      <c r="I7014" s="1"/>
      <c r="S7014" s="1"/>
    </row>
    <row r="7015" spans="9:19" x14ac:dyDescent="0.3">
      <c r="I7015" s="1"/>
      <c r="S7015" s="1"/>
    </row>
    <row r="7016" spans="9:19" x14ac:dyDescent="0.3">
      <c r="I7016" s="1"/>
      <c r="S7016" s="1"/>
    </row>
    <row r="7017" spans="9:19" x14ac:dyDescent="0.3">
      <c r="I7017" s="1"/>
      <c r="S7017" s="1"/>
    </row>
    <row r="7018" spans="9:19" x14ac:dyDescent="0.3">
      <c r="I7018" s="1"/>
      <c r="S7018" s="1"/>
    </row>
    <row r="7019" spans="9:19" x14ac:dyDescent="0.3">
      <c r="I7019" s="1"/>
      <c r="S7019" s="1"/>
    </row>
    <row r="7020" spans="9:19" x14ac:dyDescent="0.3">
      <c r="I7020" s="1"/>
      <c r="S7020" s="1"/>
    </row>
    <row r="7021" spans="9:19" x14ac:dyDescent="0.3">
      <c r="I7021" s="1"/>
      <c r="S7021" s="1"/>
    </row>
    <row r="7022" spans="9:19" x14ac:dyDescent="0.3">
      <c r="I7022" s="1"/>
      <c r="S7022" s="1"/>
    </row>
    <row r="7023" spans="9:19" x14ac:dyDescent="0.3">
      <c r="I7023" s="1"/>
      <c r="S7023" s="1"/>
    </row>
    <row r="7024" spans="9:19" x14ac:dyDescent="0.3">
      <c r="I7024" s="1"/>
      <c r="S7024" s="1"/>
    </row>
    <row r="7025" spans="9:19" x14ac:dyDescent="0.3">
      <c r="I7025" s="1"/>
      <c r="S7025" s="1"/>
    </row>
    <row r="7026" spans="9:19" x14ac:dyDescent="0.3">
      <c r="I7026" s="1"/>
      <c r="S7026" s="1"/>
    </row>
    <row r="7027" spans="9:19" x14ac:dyDescent="0.3">
      <c r="I7027" s="1"/>
      <c r="S7027" s="1"/>
    </row>
    <row r="7028" spans="9:19" x14ac:dyDescent="0.3">
      <c r="I7028" s="1"/>
      <c r="S7028" s="1"/>
    </row>
    <row r="7029" spans="9:19" x14ac:dyDescent="0.3">
      <c r="I7029" s="1"/>
      <c r="S7029" s="1"/>
    </row>
    <row r="7030" spans="9:19" x14ac:dyDescent="0.3">
      <c r="I7030" s="1"/>
      <c r="S7030" s="1"/>
    </row>
    <row r="7031" spans="9:19" x14ac:dyDescent="0.3">
      <c r="I7031" s="1"/>
      <c r="S7031" s="1"/>
    </row>
    <row r="7032" spans="9:19" x14ac:dyDescent="0.3">
      <c r="I7032" s="1"/>
      <c r="S7032" s="1"/>
    </row>
    <row r="7033" spans="9:19" x14ac:dyDescent="0.3">
      <c r="I7033" s="1"/>
      <c r="S7033" s="1"/>
    </row>
    <row r="7034" spans="9:19" x14ac:dyDescent="0.3">
      <c r="I7034" s="1"/>
      <c r="S7034" s="1"/>
    </row>
    <row r="7035" spans="9:19" x14ac:dyDescent="0.3">
      <c r="I7035" s="1"/>
      <c r="S7035" s="1"/>
    </row>
    <row r="7036" spans="9:19" x14ac:dyDescent="0.3">
      <c r="I7036" s="1"/>
      <c r="S7036" s="1"/>
    </row>
    <row r="7037" spans="9:19" x14ac:dyDescent="0.3">
      <c r="I7037" s="1"/>
      <c r="S7037" s="1"/>
    </row>
    <row r="7038" spans="9:19" x14ac:dyDescent="0.3">
      <c r="I7038" s="1"/>
      <c r="S7038" s="1"/>
    </row>
    <row r="7039" spans="9:19" x14ac:dyDescent="0.3">
      <c r="I7039" s="1"/>
      <c r="S7039" s="1"/>
    </row>
    <row r="7040" spans="9:19" x14ac:dyDescent="0.3">
      <c r="I7040" s="1"/>
      <c r="S7040" s="1"/>
    </row>
    <row r="7041" spans="9:19" x14ac:dyDescent="0.3">
      <c r="I7041" s="1"/>
      <c r="S7041" s="1"/>
    </row>
    <row r="7042" spans="9:19" x14ac:dyDescent="0.3">
      <c r="I7042" s="1"/>
      <c r="S7042" s="1"/>
    </row>
    <row r="7043" spans="9:19" x14ac:dyDescent="0.3">
      <c r="I7043" s="1"/>
      <c r="S7043" s="1"/>
    </row>
    <row r="7044" spans="9:19" x14ac:dyDescent="0.3">
      <c r="I7044" s="1"/>
      <c r="S70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LoanApprovalPrediction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2026-03-19T06:31:12Z</dcterms:created>
  <dcterms:modified xsi:type="dcterms:W3CDTF">2026-03-30T15:23:11Z</dcterms:modified>
</cp:coreProperties>
</file>